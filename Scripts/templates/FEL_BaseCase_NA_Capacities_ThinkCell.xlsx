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 NA" sheetId="1" state="visible" r:id="rId3"/>
    <sheet name="Total US" sheetId="2" state="visible" r:id="rId4"/>
    <sheet name="California" sheetId="3" state="visible" r:id="rId5"/>
    <sheet name="ERCOT" sheetId="4" state="visible" r:id="rId6"/>
    <sheet name="MISO" sheetId="5" state="visible" r:id="rId7"/>
    <sheet name="New England" sheetId="6" state="visible" r:id="rId8"/>
    <sheet name="New York" sheetId="7" state="visible" r:id="rId9"/>
    <sheet name="PJM" sheetId="8" state="visible" r:id="rId10"/>
    <sheet name="SERC" sheetId="9" state="visible" r:id="rId11"/>
    <sheet name="SPP" sheetId="10" state="visible" r:id="rId12"/>
    <sheet name="WECC" sheetId="11" state="visible" r:id="rId13"/>
    <sheet name="Canad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<sst xmlns="http://schemas.openxmlformats.org/spreadsheetml/2006/main" count="180" uniqueCount="15">
  <si>
    <t xml:space="preserve">Category</t>
  </si>
  <si>
    <t xml:space="preserve">CAGR</t>
  </si>
  <si>
    <t xml:space="preserve">Coal</t>
  </si>
  <si>
    <t xml:space="preserve">Gas</t>
  </si>
  <si>
    <t xml:space="preserve">Gas CCS</t>
  </si>
  <si>
    <t xml:space="preserve">Other</t>
  </si>
  <si>
    <t xml:space="preserve">Nuclear</t>
  </si>
  <si>
    <t xml:space="preserve">Hydro</t>
  </si>
  <si>
    <t xml:space="preserve">Biomass</t>
  </si>
  <si>
    <t xml:space="preserve">Solar</t>
  </si>
  <si>
    <t xml:space="preserve">Wind Onshore</t>
  </si>
  <si>
    <t xml:space="preserve">Wind Offshore</t>
  </si>
  <si>
    <t xml:space="preserve">BESS</t>
  </si>
  <si>
    <t xml:space="preserve">LDES</t>
  </si>
  <si>
    <t xml:space="preserve">PHES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</si>
</sst>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\-"/>
    <numFmt numFmtId="166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174454.9</v>
      </c>
      <c r="C2" s="5" t="n">
        <v>136605.2</v>
      </c>
      <c r="D2" s="5" t="n">
        <v>111400.9</v>
      </c>
      <c r="E2" s="5" t="n">
        <v>90020.4</v>
      </c>
      <c r="F2" s="6" t="n">
        <f aca="false">E2</f>
        <v>90020.4</v>
      </c>
      <c r="H2" s="7" t="n">
        <f aca="false">IFERROR((F2/B2)^(1/(40-26))-1,"")</f>
        <v>-0.0461599477720933</v>
      </c>
    </row>
    <row r="3" customFormat="false" ht="15" hidden="false" customHeight="false" outlineLevel="0" collapsed="false">
      <c r="A3" s="4" t="s">
        <v>3</v>
      </c>
      <c r="B3" s="5" t="n">
        <v>563806.8</v>
      </c>
      <c r="C3" s="5" t="n">
        <v>734966.9</v>
      </c>
      <c r="D3" s="5" t="n">
        <v>887482.4</v>
      </c>
      <c r="E3" s="5" t="n">
        <v>961924.3</v>
      </c>
      <c r="F3" s="6" t="n">
        <f aca="false">E3+E4</f>
        <v>961926.5</v>
      </c>
      <c r="H3" s="7" t="n">
        <f aca="false">IFERROR((F3/B3)^(1/(40-26))-1,"")</f>
        <v>0.0388964343141474</v>
      </c>
    </row>
    <row r="4" customFormat="false" ht="15" hidden="false" customHeight="false" outlineLevel="0" collapsed="false">
      <c r="A4" s="4" t="s">
        <v>4</v>
      </c>
      <c r="B4" s="5" t="n">
        <v>2.1</v>
      </c>
      <c r="C4" s="5" t="n">
        <v>2.2</v>
      </c>
      <c r="D4" s="5" t="n">
        <v>2.2</v>
      </c>
      <c r="E4" s="5" t="n">
        <v>2.2</v>
      </c>
    </row>
    <row r="5" customFormat="false" ht="15" hidden="false" customHeight="false" outlineLevel="0" collapsed="false">
      <c r="A5" s="4" t="s">
        <v>5</v>
      </c>
      <c r="B5" s="5" t="n">
        <v>8347.8</v>
      </c>
      <c r="C5" s="5" t="n">
        <v>10761.3</v>
      </c>
      <c r="D5" s="5" t="n">
        <v>19088.2</v>
      </c>
      <c r="E5" s="5" t="n">
        <v>27541.7</v>
      </c>
      <c r="F5" s="6" t="n">
        <f aca="false">E5</f>
        <v>27541.7</v>
      </c>
      <c r="H5" s="7"/>
    </row>
    <row r="6" customFormat="false" ht="15" hidden="false" customHeight="false" outlineLevel="0" collapsed="false">
      <c r="A6" s="4" t="s">
        <v>6</v>
      </c>
      <c r="B6" s="5" t="n">
        <v>123904.5</v>
      </c>
      <c r="C6" s="5" t="n">
        <v>127104.5</v>
      </c>
      <c r="D6" s="5" t="n">
        <v>132056.6</v>
      </c>
      <c r="E6" s="5" t="n">
        <v>178326.2</v>
      </c>
      <c r="F6" s="6" t="n">
        <f aca="false">E6</f>
        <v>178326.2</v>
      </c>
      <c r="H6" s="7" t="n">
        <f aca="false">IFERROR((F6/B6)^(1/(40-26))-1,"")</f>
        <v>0.0263485250851601</v>
      </c>
    </row>
    <row r="7" customFormat="false" ht="15" hidden="false" customHeight="false" outlineLevel="0" collapsed="false">
      <c r="A7" s="4" t="s">
        <v>7</v>
      </c>
      <c r="B7" s="5" t="n">
        <v>167152.7</v>
      </c>
      <c r="C7" s="5" t="n">
        <v>174542.5</v>
      </c>
      <c r="D7" s="5" t="n">
        <v>193970.8</v>
      </c>
      <c r="E7" s="5" t="n">
        <v>214659.6</v>
      </c>
      <c r="F7" s="6" t="n">
        <f aca="false">E7</f>
        <v>214659.6</v>
      </c>
      <c r="H7" s="7" t="n">
        <f aca="false">IFERROR((F7/B7)^(1/(40-26))-1,"")</f>
        <v>0.0180281333969348</v>
      </c>
    </row>
    <row r="8" customFormat="false" ht="15" hidden="false" customHeight="false" outlineLevel="0" collapsed="false">
      <c r="A8" s="4" t="s">
        <v>8</v>
      </c>
      <c r="B8" s="5" t="n">
        <v>2942.2</v>
      </c>
      <c r="C8" s="5" t="n">
        <v>3076.3</v>
      </c>
      <c r="D8" s="5" t="n">
        <v>2692.4</v>
      </c>
      <c r="E8" s="5" t="n">
        <v>2692.4</v>
      </c>
      <c r="F8" s="6" t="n">
        <f aca="false">E8</f>
        <v>2692.4</v>
      </c>
      <c r="H8" s="7"/>
    </row>
    <row r="9" customFormat="false" ht="15" hidden="false" customHeight="false" outlineLevel="0" collapsed="false">
      <c r="A9" s="4" t="s">
        <v>9</v>
      </c>
      <c r="B9" s="5" t="n">
        <v>175646.8</v>
      </c>
      <c r="C9" s="5" t="n">
        <v>341876.9</v>
      </c>
      <c r="D9" s="5" t="n">
        <v>439708.3</v>
      </c>
      <c r="E9" s="5" t="n">
        <v>928559.3</v>
      </c>
      <c r="F9" s="6" t="n">
        <f aca="false">E9</f>
        <v>928559.3</v>
      </c>
      <c r="H9" s="7" t="n">
        <f aca="false">IFERROR((F9/B9)^(1/(40-26))-1,"")</f>
        <v>0.12630226448513</v>
      </c>
    </row>
    <row r="10" customFormat="false" ht="15" hidden="false" customHeight="false" outlineLevel="0" collapsed="false">
      <c r="A10" s="4" t="s">
        <v>10</v>
      </c>
      <c r="B10" s="5" t="n">
        <v>178506.4</v>
      </c>
      <c r="C10" s="5" t="n">
        <v>232498.8</v>
      </c>
      <c r="D10" s="5" t="n">
        <v>328398.2</v>
      </c>
      <c r="E10" s="5" t="n">
        <v>534861.7</v>
      </c>
      <c r="F10" s="6" t="n">
        <f aca="false">E10</f>
        <v>534861.7</v>
      </c>
      <c r="H10" s="7" t="n">
        <f aca="false">IFERROR((F10/B10)^(1/(40-26))-1,"")</f>
        <v>0.0815384884990982</v>
      </c>
    </row>
    <row r="11" customFormat="false" ht="15" hidden="false" customHeight="false" outlineLevel="0" collapsed="false">
      <c r="A11" s="4" t="s">
        <v>11</v>
      </c>
      <c r="B11" s="5" t="n">
        <v>880</v>
      </c>
      <c r="C11" s="5" t="n">
        <v>25886.4</v>
      </c>
      <c r="D11" s="5" t="n">
        <v>54166.4</v>
      </c>
      <c r="E11" s="5" t="n">
        <v>103740.2</v>
      </c>
      <c r="F11" s="6" t="n">
        <f aca="false">E11</f>
        <v>103740.2</v>
      </c>
      <c r="H11" s="7" t="n">
        <f aca="false">IFERROR((F11/B11)^(1/(40-26))-1,"")</f>
        <v>0.405923672429758</v>
      </c>
    </row>
    <row r="12" customFormat="false" ht="15" hidden="false" customHeight="false" outlineLevel="0" collapsed="false">
      <c r="A12" s="4" t="s">
        <v>12</v>
      </c>
      <c r="B12" s="5" t="n">
        <v>58330.7</v>
      </c>
      <c r="C12" s="5" t="n">
        <v>178155.6</v>
      </c>
      <c r="D12" s="5" t="n">
        <v>210339.6</v>
      </c>
      <c r="E12" s="5" t="n">
        <v>260393.7</v>
      </c>
      <c r="F12" s="6" t="n">
        <f aca="false">E12</f>
        <v>260393.7</v>
      </c>
      <c r="H12" s="7" t="n">
        <f aca="false">IFERROR((F12/B12)^(1/(40-26))-1,"")</f>
        <v>0.112780535099246</v>
      </c>
    </row>
    <row r="13" customFormat="false" ht="15" hidden="false" customHeight="false" outlineLevel="0" collapsed="false">
      <c r="A13" s="4" t="s">
        <v>13</v>
      </c>
      <c r="B13" s="5" t="n">
        <v>831252.6</v>
      </c>
      <c r="C13" s="5" t="n">
        <v>3573695.5</v>
      </c>
      <c r="D13" s="5" t="n">
        <v>3655126.1</v>
      </c>
      <c r="E13" s="5" t="n">
        <v>3665092.8</v>
      </c>
      <c r="F13" s="6" t="n">
        <f aca="false">E13</f>
        <v>3665092.8</v>
      </c>
      <c r="H13" s="7" t="n">
        <f aca="false">IFERROR((F13/B13)^(1/(40-26))-1,"")</f>
        <v>0.111796083714784</v>
      </c>
    </row>
    <row r="14" customFormat="false" ht="15" hidden="false" customHeight="false" outlineLevel="0" collapsed="false">
      <c r="A14" s="4" t="s">
        <v>14</v>
      </c>
      <c r="B14" s="5" t="n">
        <v>23194.5</v>
      </c>
      <c r="C14" s="5" t="n">
        <v>23997.9</v>
      </c>
      <c r="D14" s="5" t="n">
        <v>24524.6</v>
      </c>
      <c r="E14" s="5" t="n">
        <v>26985</v>
      </c>
      <c r="F14" s="6" t="n">
        <f aca="false">E14</f>
        <v>26985</v>
      </c>
      <c r="H14" s="7" t="n">
        <f aca="false">IFERROR((F14/B14)^(1/(40-26))-1,"")</f>
        <v>0.0108705146417052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171360.9</v>
      </c>
      <c r="C2" s="5" t="n">
        <v>133665.2</v>
      </c>
      <c r="D2" s="5" t="n">
        <v>109870.9</v>
      </c>
      <c r="E2" s="5" t="n">
        <v>88490.4</v>
      </c>
      <c r="F2" s="6" t="n">
        <f aca="false">E2</f>
        <v>88490.4</v>
      </c>
      <c r="H2" s="7" t="n">
        <f aca="false">IFERROR((F2/B2)^(1/(40-26))-1,"")</f>
        <v>-0.0461087008637112</v>
      </c>
    </row>
    <row r="3" customFormat="false" ht="15" hidden="false" customHeight="false" outlineLevel="0" collapsed="false">
      <c r="A3" s="4" t="s">
        <v>3</v>
      </c>
      <c r="B3" s="5" t="n">
        <v>531892.4</v>
      </c>
      <c r="C3" s="5" t="n">
        <v>693923.5</v>
      </c>
      <c r="D3" s="5" t="n">
        <v>851815.6</v>
      </c>
      <c r="E3" s="5" t="n">
        <v>930136.2</v>
      </c>
      <c r="F3" s="6" t="n">
        <f aca="false">E3+E4</f>
        <v>930138.4</v>
      </c>
      <c r="H3" s="7" t="n">
        <f aca="false">IFERROR((F3/B3)^(1/(40-26))-1,"")</f>
        <v>0.0407284180224263</v>
      </c>
    </row>
    <row r="4" customFormat="false" ht="15" hidden="false" customHeight="false" outlineLevel="0" collapsed="false">
      <c r="A4" s="4" t="s">
        <v>4</v>
      </c>
      <c r="B4" s="5" t="n">
        <v>2.1</v>
      </c>
      <c r="C4" s="5" t="n">
        <v>2.2</v>
      </c>
      <c r="D4" s="5" t="n">
        <v>2.2</v>
      </c>
      <c r="E4" s="5" t="n">
        <v>2.2</v>
      </c>
    </row>
    <row r="5" customFormat="false" ht="15" hidden="false" customHeight="false" outlineLevel="0" collapsed="false">
      <c r="A5" s="4" t="s">
        <v>5</v>
      </c>
      <c r="B5" s="5" t="n">
        <v>4730.4</v>
      </c>
      <c r="C5" s="5" t="n">
        <v>6933.8</v>
      </c>
      <c r="D5" s="5" t="n">
        <v>16111.9</v>
      </c>
      <c r="E5" s="5" t="n">
        <v>24933.6</v>
      </c>
      <c r="F5" s="6" t="n">
        <f aca="false">E5</f>
        <v>24933.6</v>
      </c>
      <c r="H5" s="7"/>
    </row>
    <row r="6" customFormat="false" ht="15" hidden="false" customHeight="false" outlineLevel="0" collapsed="false">
      <c r="A6" s="4" t="s">
        <v>6</v>
      </c>
      <c r="B6" s="5" t="n">
        <v>111001.5</v>
      </c>
      <c r="C6" s="5" t="n">
        <v>114201.5</v>
      </c>
      <c r="D6" s="5" t="n">
        <v>116726.9</v>
      </c>
      <c r="E6" s="5" t="n">
        <v>160849.8</v>
      </c>
      <c r="F6" s="6" t="n">
        <f aca="false">E6</f>
        <v>160849.8</v>
      </c>
      <c r="H6" s="7" t="n">
        <f aca="false">IFERROR((F6/B6)^(1/(40-26))-1,"")</f>
        <v>0.0268489146421087</v>
      </c>
    </row>
    <row r="7" customFormat="false" ht="15" hidden="false" customHeight="false" outlineLevel="0" collapsed="false">
      <c r="A7" s="4" t="s">
        <v>7</v>
      </c>
      <c r="B7" s="5" t="n">
        <v>82417.3</v>
      </c>
      <c r="C7" s="5" t="n">
        <v>89199.1</v>
      </c>
      <c r="D7" s="5" t="n">
        <v>100080.8</v>
      </c>
      <c r="E7" s="5" t="n">
        <v>114060.9</v>
      </c>
      <c r="F7" s="6" t="n">
        <f aca="false">E7</f>
        <v>114060.9</v>
      </c>
      <c r="H7" s="7" t="n">
        <f aca="false">IFERROR((F7/B7)^(1/(40-26))-1,"")</f>
        <v>0.0234812397296331</v>
      </c>
    </row>
    <row r="8" customFormat="false" ht="15" hidden="false" customHeight="false" outlineLevel="0" collapsed="false">
      <c r="A8" s="4" t="s">
        <v>8</v>
      </c>
      <c r="B8" s="5" t="n">
        <v>0.4</v>
      </c>
      <c r="C8" s="5" t="n">
        <v>1.1</v>
      </c>
      <c r="D8" s="5" t="n">
        <v>1.6</v>
      </c>
      <c r="E8" s="5" t="n">
        <v>1.6</v>
      </c>
      <c r="F8" s="6" t="n">
        <f aca="false">E8</f>
        <v>1.6</v>
      </c>
      <c r="H8" s="7"/>
    </row>
    <row r="9" customFormat="false" ht="15" hidden="false" customHeight="false" outlineLevel="0" collapsed="false">
      <c r="A9" s="4" t="s">
        <v>9</v>
      </c>
      <c r="B9" s="5" t="n">
        <v>165467.3</v>
      </c>
      <c r="C9" s="5" t="n">
        <v>328599.8</v>
      </c>
      <c r="D9" s="5" t="n">
        <v>425326.9</v>
      </c>
      <c r="E9" s="5" t="n">
        <v>885333.3</v>
      </c>
      <c r="F9" s="6" t="n">
        <f aca="false">E9</f>
        <v>885333.3</v>
      </c>
      <c r="H9" s="7" t="n">
        <f aca="false">IFERROR((F9/B9)^(1/(40-26))-1,"")</f>
        <v>0.127270617236551</v>
      </c>
    </row>
    <row r="10" customFormat="false" ht="15" hidden="false" customHeight="false" outlineLevel="0" collapsed="false">
      <c r="A10" s="4" t="s">
        <v>10</v>
      </c>
      <c r="B10" s="5" t="n">
        <v>158376.5</v>
      </c>
      <c r="C10" s="5" t="n">
        <v>201010.7</v>
      </c>
      <c r="D10" s="5" t="n">
        <v>259987.5</v>
      </c>
      <c r="E10" s="5" t="n">
        <v>423397.8</v>
      </c>
      <c r="F10" s="6" t="n">
        <f aca="false">E10</f>
        <v>423397.8</v>
      </c>
      <c r="H10" s="7" t="n">
        <f aca="false">IFERROR((F10/B10)^(1/(40-26))-1,"")</f>
        <v>0.0727638557601988</v>
      </c>
    </row>
    <row r="11" customFormat="false" ht="15" hidden="false" customHeight="false" outlineLevel="0" collapsed="false">
      <c r="A11" s="4" t="s">
        <v>11</v>
      </c>
      <c r="B11" s="5" t="n">
        <v>880</v>
      </c>
      <c r="C11" s="5" t="n">
        <v>5810</v>
      </c>
      <c r="D11" s="5" t="n">
        <v>9550</v>
      </c>
      <c r="E11" s="5" t="n">
        <v>29100</v>
      </c>
      <c r="F11" s="6" t="n">
        <f aca="false">E11</f>
        <v>29100</v>
      </c>
      <c r="H11" s="7" t="n">
        <f aca="false">IFERROR((F11/B11)^(1/(40-26))-1,"")</f>
        <v>0.283894411110976</v>
      </c>
    </row>
    <row r="12" customFormat="false" ht="15" hidden="false" customHeight="false" outlineLevel="0" collapsed="false">
      <c r="A12" s="4" t="s">
        <v>12</v>
      </c>
      <c r="B12" s="5" t="n">
        <v>55796.5</v>
      </c>
      <c r="C12" s="5" t="n">
        <v>174046.1</v>
      </c>
      <c r="D12" s="5" t="n">
        <v>205169.9</v>
      </c>
      <c r="E12" s="5" t="n">
        <v>252009.2</v>
      </c>
      <c r="F12" s="6" t="n">
        <f aca="false">E12</f>
        <v>252009.2</v>
      </c>
      <c r="H12" s="7" t="n">
        <f aca="false">IFERROR((F12/B12)^(1/(40-26))-1,"")</f>
        <v>0.113709957758644</v>
      </c>
    </row>
    <row r="13" customFormat="false" ht="15" hidden="false" customHeight="false" outlineLevel="0" collapsed="false">
      <c r="A13" s="4" t="s">
        <v>13</v>
      </c>
      <c r="B13" s="5" t="n">
        <v>831252.6</v>
      </c>
      <c r="C13" s="5" t="n">
        <v>3573695.5</v>
      </c>
      <c r="D13" s="5" t="n">
        <v>3655126.1</v>
      </c>
      <c r="E13" s="5" t="n">
        <v>3664092.8</v>
      </c>
      <c r="F13" s="6" t="n">
        <f aca="false">E13</f>
        <v>3664092.8</v>
      </c>
      <c r="H13" s="7" t="n">
        <f aca="false">IFERROR((F13/B13)^(1/(40-26))-1,"")</f>
        <v>0.111774413303675</v>
      </c>
    </row>
    <row r="14" customFormat="false" ht="15" hidden="false" customHeight="false" outlineLevel="0" collapsed="false">
      <c r="A14" s="4" t="s">
        <v>14</v>
      </c>
      <c r="B14" s="5" t="n">
        <v>23020.5</v>
      </c>
      <c r="C14" s="5" t="n">
        <v>23823.9</v>
      </c>
      <c r="D14" s="5" t="n">
        <v>24350.6</v>
      </c>
      <c r="E14" s="5" t="n">
        <v>26767.5</v>
      </c>
      <c r="F14" s="6" t="n">
        <f aca="false">E14</f>
        <v>26767.5</v>
      </c>
      <c r="H14" s="7" t="n">
        <f aca="false">IFERROR((F14/B14)^(1/(40-26))-1,"")</f>
        <v>0.0108298905417836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1142.9</v>
      </c>
      <c r="C2" s="5" t="n">
        <v>893.6</v>
      </c>
      <c r="D2" s="5" t="n">
        <v>744.8</v>
      </c>
      <c r="E2" s="5" t="n">
        <v>591.6</v>
      </c>
      <c r="F2" s="6" t="n">
        <f aca="false">E2</f>
        <v>591.6</v>
      </c>
      <c r="H2" s="7" t="n">
        <f aca="false">IFERROR((F2/B2)^(1/(40-26))-1,"")</f>
        <v>-0.045946229313402</v>
      </c>
    </row>
    <row r="3" customFormat="false" ht="15" hidden="false" customHeight="false" outlineLevel="0" collapsed="false">
      <c r="A3" s="4" t="s">
        <v>3</v>
      </c>
      <c r="B3" s="5" t="n">
        <v>38890.5</v>
      </c>
      <c r="C3" s="5" t="n">
        <v>38504.3</v>
      </c>
      <c r="D3" s="5" t="n">
        <v>35273.2</v>
      </c>
      <c r="E3" s="5" t="n">
        <v>50390.7</v>
      </c>
      <c r="F3" s="6" t="n">
        <f aca="false">E3+E4</f>
        <v>50390.7</v>
      </c>
      <c r="H3" s="7" t="n">
        <f aca="false">IFERROR((F3/B3)^(1/(40-26))-1,"")</f>
        <v>0.0186763056618329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2245.3</v>
      </c>
      <c r="C5" s="5" t="n">
        <v>1603.8</v>
      </c>
      <c r="D5" s="5" t="n">
        <v>801.9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2323</v>
      </c>
      <c r="C6" s="5" t="n">
        <v>2323</v>
      </c>
      <c r="D6" s="5" t="n">
        <v>2323</v>
      </c>
      <c r="E6" s="5" t="n">
        <v>2555.3</v>
      </c>
      <c r="F6" s="6" t="n">
        <f aca="false">E6</f>
        <v>2555.3</v>
      </c>
      <c r="H6" s="7" t="n">
        <f aca="false">IFERROR((F6/B6)^(1/(40-26))-1,"")</f>
        <v>0.00683109621001887</v>
      </c>
    </row>
    <row r="7" customFormat="false" ht="15" hidden="false" customHeight="false" outlineLevel="0" collapsed="false">
      <c r="A7" s="4" t="s">
        <v>7</v>
      </c>
      <c r="B7" s="5" t="n">
        <v>11422.2</v>
      </c>
      <c r="C7" s="5" t="n">
        <v>13349.9</v>
      </c>
      <c r="D7" s="5" t="n">
        <v>14177.9</v>
      </c>
      <c r="E7" s="5" t="n">
        <v>15948.3</v>
      </c>
      <c r="F7" s="6" t="n">
        <f aca="false">E7</f>
        <v>15948.3</v>
      </c>
      <c r="H7" s="7" t="n">
        <f aca="false">IFERROR((F7/B7)^(1/(40-26))-1,"")</f>
        <v>0.024128888580961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26901.1</v>
      </c>
      <c r="C9" s="5" t="n">
        <v>37985.4</v>
      </c>
      <c r="D9" s="5" t="n">
        <v>47915.9</v>
      </c>
      <c r="E9" s="5" t="n">
        <v>71165.4</v>
      </c>
      <c r="F9" s="6" t="n">
        <f aca="false">E9</f>
        <v>71165.4</v>
      </c>
      <c r="H9" s="7" t="n">
        <f aca="false">IFERROR((F9/B9)^(1/(40-26))-1,"")</f>
        <v>0.0719597770329352</v>
      </c>
    </row>
    <row r="10" customFormat="false" ht="15" hidden="false" customHeight="false" outlineLevel="0" collapsed="false">
      <c r="A10" s="4" t="s">
        <v>10</v>
      </c>
      <c r="B10" s="5" t="n">
        <v>9179.6</v>
      </c>
      <c r="C10" s="5" t="n">
        <v>9352.4</v>
      </c>
      <c r="D10" s="5" t="n">
        <v>11132</v>
      </c>
      <c r="E10" s="5" t="n">
        <v>11132</v>
      </c>
      <c r="F10" s="6" t="n">
        <f aca="false">E10</f>
        <v>11132</v>
      </c>
      <c r="H10" s="7" t="n">
        <f aca="false">IFERROR((F10/B10)^(1/(40-26))-1,"")</f>
        <v>0.0138696036826422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f aca="false">E11</f>
        <v>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17774.8</v>
      </c>
      <c r="C12" s="5" t="n">
        <v>32837.4</v>
      </c>
      <c r="D12" s="5" t="n">
        <v>41265.7</v>
      </c>
      <c r="E12" s="5" t="n">
        <v>51654.5</v>
      </c>
      <c r="F12" s="6" t="n">
        <f aca="false">E12</f>
        <v>51654.5</v>
      </c>
      <c r="H12" s="7" t="n">
        <f aca="false">IFERROR((F12/B12)^(1/(40-26))-1,"")</f>
        <v>0.079178048526082</v>
      </c>
    </row>
    <row r="13" customFormat="false" ht="15" hidden="false" customHeight="false" outlineLevel="0" collapsed="false">
      <c r="A13" s="4" t="s">
        <v>13</v>
      </c>
      <c r="B13" s="5" t="n">
        <v>0</v>
      </c>
      <c r="C13" s="5" t="n">
        <v>0</v>
      </c>
      <c r="D13" s="5" t="n">
        <v>0</v>
      </c>
      <c r="E13" s="5" t="n">
        <v>500</v>
      </c>
      <c r="F13" s="6" t="n">
        <f aca="false">E13</f>
        <v>500</v>
      </c>
      <c r="H13" s="7" t="str">
        <f aca="false">IFERROR((F13/B13)^(1/(40-26))-1,"")</f>
        <v/>
      </c>
    </row>
    <row r="14" customFormat="false" ht="15" hidden="false" customHeight="false" outlineLevel="0" collapsed="false">
      <c r="A14" s="4" t="s">
        <v>14</v>
      </c>
      <c r="B14" s="5" t="n">
        <v>4000</v>
      </c>
      <c r="C14" s="5" t="n">
        <v>4000</v>
      </c>
      <c r="D14" s="5" t="n">
        <v>4000</v>
      </c>
      <c r="E14" s="5" t="n">
        <v>4000</v>
      </c>
      <c r="F14" s="6" t="n">
        <f aca="false">E14</f>
        <v>4000</v>
      </c>
      <c r="H14" s="7" t="n">
        <f aca="false">IFERROR((F14/B14)^(1/(40-26))-1,"")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13132.7</v>
      </c>
      <c r="C2" s="5" t="n">
        <v>9959.4</v>
      </c>
      <c r="D2" s="5" t="n">
        <v>8302</v>
      </c>
      <c r="E2" s="5" t="n">
        <v>6595.3</v>
      </c>
      <c r="F2" s="6" t="n">
        <f aca="false">E2</f>
        <v>6595.3</v>
      </c>
      <c r="H2" s="7" t="n">
        <f aca="false">IFERROR((F2/B2)^(1/(40-26))-1,"")</f>
        <v>-0.0480057534837233</v>
      </c>
    </row>
    <row r="3" customFormat="false" ht="15" hidden="false" customHeight="false" outlineLevel="0" collapsed="false">
      <c r="A3" s="4" t="s">
        <v>3</v>
      </c>
      <c r="B3" s="5" t="n">
        <v>60440</v>
      </c>
      <c r="C3" s="5" t="n">
        <v>103349.3</v>
      </c>
      <c r="D3" s="5" t="n">
        <v>126494.8</v>
      </c>
      <c r="E3" s="5" t="n">
        <v>141232.4</v>
      </c>
      <c r="F3" s="6" t="n">
        <f aca="false">E3+E4</f>
        <v>141234.6</v>
      </c>
      <c r="H3" s="7" t="n">
        <f aca="false">IFERROR((F3/B3)^(1/(40-26))-1,"")</f>
        <v>0.0625020107603411</v>
      </c>
    </row>
    <row r="4" customFormat="false" ht="15" hidden="false" customHeight="false" outlineLevel="0" collapsed="false">
      <c r="A4" s="4" t="s">
        <v>4</v>
      </c>
      <c r="B4" s="5" t="n">
        <v>2.1</v>
      </c>
      <c r="C4" s="5" t="n">
        <v>2.2</v>
      </c>
      <c r="D4" s="5" t="n">
        <v>2.2</v>
      </c>
      <c r="E4" s="5" t="n">
        <v>2.2</v>
      </c>
    </row>
    <row r="5" customFormat="false" ht="15" hidden="false" customHeight="false" outlineLevel="0" collapsed="false">
      <c r="A5" s="4" t="s">
        <v>5</v>
      </c>
      <c r="B5" s="5" t="n">
        <v>962.4</v>
      </c>
      <c r="C5" s="5" t="n">
        <v>4242.3</v>
      </c>
      <c r="D5" s="5" t="n">
        <v>14766.1</v>
      </c>
      <c r="E5" s="5" t="n">
        <v>18955.3</v>
      </c>
      <c r="F5" s="6" t="n">
        <f aca="false">E5</f>
        <v>18955.3</v>
      </c>
      <c r="H5" s="7"/>
    </row>
    <row r="6" customFormat="false" ht="15" hidden="false" customHeight="false" outlineLevel="0" collapsed="false">
      <c r="A6" s="4" t="s">
        <v>6</v>
      </c>
      <c r="B6" s="5" t="n">
        <v>5653.5</v>
      </c>
      <c r="C6" s="5" t="n">
        <v>5659</v>
      </c>
      <c r="D6" s="5" t="n">
        <v>5659</v>
      </c>
      <c r="E6" s="5" t="n">
        <v>13350</v>
      </c>
      <c r="F6" s="6" t="n">
        <f aca="false">E6</f>
        <v>13350</v>
      </c>
      <c r="H6" s="7" t="n">
        <f aca="false">IFERROR((F6/B6)^(1/(40-26))-1,"")</f>
        <v>0.0632969351944048</v>
      </c>
    </row>
    <row r="7" customFormat="false" ht="15" hidden="false" customHeight="false" outlineLevel="0" collapsed="false">
      <c r="A7" s="4" t="s">
        <v>7</v>
      </c>
      <c r="B7" s="5" t="n">
        <v>628.1</v>
      </c>
      <c r="C7" s="5" t="n">
        <v>628.1</v>
      </c>
      <c r="D7" s="5" t="n">
        <v>628.1</v>
      </c>
      <c r="E7" s="5" t="n">
        <v>628.1</v>
      </c>
      <c r="F7" s="6" t="n">
        <f aca="false">E7</f>
        <v>628.1</v>
      </c>
      <c r="H7" s="7" t="n">
        <f aca="false">IFERROR((F7/B7)^(1/(40-26))-1,"")</f>
        <v>0</v>
      </c>
    </row>
    <row r="8" customFormat="false" ht="15" hidden="false" customHeight="false" outlineLevel="0" collapsed="false">
      <c r="A8" s="4" t="s">
        <v>8</v>
      </c>
      <c r="B8" s="5" t="n">
        <v>0.4</v>
      </c>
      <c r="C8" s="5" t="n">
        <v>1.1</v>
      </c>
      <c r="D8" s="5" t="n">
        <v>1.6</v>
      </c>
      <c r="E8" s="5" t="n">
        <v>1.6</v>
      </c>
      <c r="F8" s="6" t="n">
        <f aca="false">E8</f>
        <v>1.6</v>
      </c>
      <c r="H8" s="7"/>
    </row>
    <row r="9" customFormat="false" ht="15" hidden="false" customHeight="false" outlineLevel="0" collapsed="false">
      <c r="A9" s="4" t="s">
        <v>9</v>
      </c>
      <c r="B9" s="5" t="n">
        <v>34825.6</v>
      </c>
      <c r="C9" s="5" t="n">
        <v>82440.1</v>
      </c>
      <c r="D9" s="5" t="n">
        <v>97892.5</v>
      </c>
      <c r="E9" s="5" t="n">
        <v>205689.9</v>
      </c>
      <c r="F9" s="6" t="n">
        <f aca="false">E9</f>
        <v>205689.9</v>
      </c>
      <c r="H9" s="7" t="n">
        <f aca="false">IFERROR((F9/B9)^(1/(40-26))-1,"")</f>
        <v>0.135256201105897</v>
      </c>
    </row>
    <row r="10" customFormat="false" ht="15" hidden="false" customHeight="false" outlineLevel="0" collapsed="false">
      <c r="A10" s="4" t="s">
        <v>10</v>
      </c>
      <c r="B10" s="5" t="n">
        <v>37772.2</v>
      </c>
      <c r="C10" s="5" t="n">
        <v>44505.1</v>
      </c>
      <c r="D10" s="5" t="n">
        <v>51880.9</v>
      </c>
      <c r="E10" s="5" t="n">
        <v>100071</v>
      </c>
      <c r="F10" s="6" t="n">
        <f aca="false">E10</f>
        <v>100071</v>
      </c>
      <c r="H10" s="7" t="n">
        <f aca="false">IFERROR((F10/B10)^(1/(40-26))-1,"")</f>
        <v>0.0720721077992064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f aca="false">E11</f>
        <v>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19582.3</v>
      </c>
      <c r="C12" s="5" t="n">
        <v>51481.4</v>
      </c>
      <c r="D12" s="5" t="n">
        <v>49249</v>
      </c>
      <c r="E12" s="5" t="n">
        <v>49623</v>
      </c>
      <c r="F12" s="6" t="n">
        <f aca="false">E12</f>
        <v>49623</v>
      </c>
      <c r="H12" s="7" t="n">
        <f aca="false">IFERROR((F12/B12)^(1/(40-26))-1,"")</f>
        <v>0.0686715231304811</v>
      </c>
    </row>
    <row r="13" customFormat="false" ht="15" hidden="false" customHeight="false" outlineLevel="0" collapsed="false">
      <c r="A13" s="4" t="s">
        <v>13</v>
      </c>
      <c r="B13" s="5" t="n">
        <v>0</v>
      </c>
      <c r="C13" s="5" t="n">
        <v>0</v>
      </c>
      <c r="D13" s="5" t="n">
        <v>0</v>
      </c>
      <c r="E13" s="5" t="n">
        <v>3000</v>
      </c>
      <c r="F13" s="6" t="n">
        <f aca="false">E13</f>
        <v>3000</v>
      </c>
      <c r="H13" s="7" t="str">
        <f aca="false">IFERROR((F13/B13)^(1/(40-26))-1,"")</f>
        <v/>
      </c>
    </row>
    <row r="14" customFormat="false" ht="15" hidden="false" customHeight="false" outlineLevel="0" collapsed="false">
      <c r="A14" s="4" t="s">
        <v>14</v>
      </c>
      <c r="B14" s="5" t="n">
        <v>0</v>
      </c>
      <c r="C14" s="5" t="n">
        <v>0</v>
      </c>
      <c r="D14" s="5" t="n">
        <v>0</v>
      </c>
      <c r="E14" s="5" t="n">
        <v>0</v>
      </c>
      <c r="F14" s="6" t="n">
        <f aca="false">E14</f>
        <v>0</v>
      </c>
      <c r="H14" s="7" t="str">
        <f aca="false">IFERROR((F14/B14)^(1/(40-26))-1,"")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40376.9</v>
      </c>
      <c r="C2" s="5" t="n">
        <v>31567.4</v>
      </c>
      <c r="D2" s="5" t="n">
        <v>26311</v>
      </c>
      <c r="E2" s="5" t="n">
        <v>20898.1</v>
      </c>
      <c r="F2" s="6" t="n">
        <f aca="false">E2</f>
        <v>20898.1</v>
      </c>
      <c r="H2" s="7" t="n">
        <f aca="false">IFERROR((F2/B2)^(1/(40-26))-1,"")</f>
        <v>-0.0459534632927134</v>
      </c>
    </row>
    <row r="3" customFormat="false" ht="15" hidden="false" customHeight="false" outlineLevel="0" collapsed="false">
      <c r="A3" s="4" t="s">
        <v>3</v>
      </c>
      <c r="B3" s="5" t="n">
        <v>80283</v>
      </c>
      <c r="C3" s="5" t="n">
        <v>104191.2</v>
      </c>
      <c r="D3" s="5" t="n">
        <v>132507.4</v>
      </c>
      <c r="E3" s="5" t="n">
        <v>141909.6</v>
      </c>
      <c r="F3" s="6" t="n">
        <f aca="false">E3+E4</f>
        <v>141909.6</v>
      </c>
      <c r="H3" s="7" t="n">
        <f aca="false">IFERROR((F3/B3)^(1/(40-26))-1,"")</f>
        <v>0.0415271238886528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17.6</v>
      </c>
      <c r="C5" s="5" t="n">
        <v>12.6</v>
      </c>
      <c r="D5" s="5" t="n">
        <v>6.3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13495.9</v>
      </c>
      <c r="C6" s="5" t="n">
        <v>14388.9</v>
      </c>
      <c r="D6" s="5" t="n">
        <v>14388.9</v>
      </c>
      <c r="E6" s="5" t="n">
        <v>18881.3</v>
      </c>
      <c r="F6" s="6" t="n">
        <f aca="false">E6</f>
        <v>18881.3</v>
      </c>
      <c r="H6" s="7" t="n">
        <f aca="false">IFERROR((F6/B6)^(1/(40-26))-1,"")</f>
        <v>0.0242746667565197</v>
      </c>
    </row>
    <row r="7" customFormat="false" ht="15" hidden="false" customHeight="false" outlineLevel="0" collapsed="false">
      <c r="A7" s="4" t="s">
        <v>7</v>
      </c>
      <c r="B7" s="5" t="n">
        <v>2671.2</v>
      </c>
      <c r="C7" s="5" t="n">
        <v>2671.2</v>
      </c>
      <c r="D7" s="5" t="n">
        <v>2671.2</v>
      </c>
      <c r="E7" s="5" t="n">
        <v>2671.2</v>
      </c>
      <c r="F7" s="6" t="n">
        <f aca="false">E7</f>
        <v>2671.2</v>
      </c>
      <c r="H7" s="7" t="n">
        <f aca="false">IFERROR((F7/B7)^(1/(40-26))-1,"")</f>
        <v>0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23067.3</v>
      </c>
      <c r="C9" s="5" t="n">
        <v>45853.5</v>
      </c>
      <c r="D9" s="5" t="n">
        <v>54072.8</v>
      </c>
      <c r="E9" s="5" t="n">
        <v>121901.8</v>
      </c>
      <c r="F9" s="6" t="n">
        <f aca="false">E9</f>
        <v>121901.8</v>
      </c>
      <c r="H9" s="7" t="n">
        <f aca="false">IFERROR((F9/B9)^(1/(40-26))-1,"")</f>
        <v>0.126273358119238</v>
      </c>
    </row>
    <row r="10" customFormat="false" ht="15" hidden="false" customHeight="false" outlineLevel="0" collapsed="false">
      <c r="A10" s="4" t="s">
        <v>10</v>
      </c>
      <c r="B10" s="5" t="n">
        <v>32433.9</v>
      </c>
      <c r="C10" s="5" t="n">
        <v>38611.5</v>
      </c>
      <c r="D10" s="5" t="n">
        <v>47321.1</v>
      </c>
      <c r="E10" s="5" t="n">
        <v>72458.2</v>
      </c>
      <c r="F10" s="6" t="n">
        <f aca="false">E10</f>
        <v>72458.2</v>
      </c>
      <c r="H10" s="7" t="n">
        <f aca="false">IFERROR((F10/B10)^(1/(40-26))-1,"")</f>
        <v>0.0590949163029779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0</v>
      </c>
      <c r="D11" s="5" t="n">
        <v>400</v>
      </c>
      <c r="E11" s="5" t="n">
        <v>3100</v>
      </c>
      <c r="F11" s="6" t="n">
        <f aca="false">E11</f>
        <v>3100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1595.3</v>
      </c>
      <c r="C12" s="5" t="n">
        <v>15955.5</v>
      </c>
      <c r="D12" s="5" t="n">
        <v>20061.4</v>
      </c>
      <c r="E12" s="5" t="n">
        <v>25119.8</v>
      </c>
      <c r="F12" s="6" t="n">
        <f aca="false">E12</f>
        <v>25119.8</v>
      </c>
      <c r="H12" s="7" t="n">
        <f aca="false">IFERROR((F12/B12)^(1/(40-26))-1,"")</f>
        <v>0.217621800427882</v>
      </c>
    </row>
    <row r="13" customFormat="false" ht="15" hidden="false" customHeight="false" outlineLevel="0" collapsed="false">
      <c r="A13" s="4" t="s">
        <v>13</v>
      </c>
      <c r="B13" s="5" t="n">
        <v>100</v>
      </c>
      <c r="C13" s="5" t="n">
        <v>100</v>
      </c>
      <c r="D13" s="5" t="n">
        <v>100</v>
      </c>
      <c r="E13" s="5" t="n">
        <v>1500</v>
      </c>
      <c r="F13" s="6" t="n">
        <f aca="false">E13</f>
        <v>1500</v>
      </c>
      <c r="H13" s="7" t="n">
        <f aca="false">IFERROR((F13/B13)^(1/(40-26))-1,"")</f>
        <v>0.213407062852507</v>
      </c>
    </row>
    <row r="14" customFormat="false" ht="15" hidden="false" customHeight="false" outlineLevel="0" collapsed="false">
      <c r="A14" s="4" t="s">
        <v>14</v>
      </c>
      <c r="B14" s="5" t="n">
        <v>2600</v>
      </c>
      <c r="C14" s="5" t="n">
        <v>2600</v>
      </c>
      <c r="D14" s="5" t="n">
        <v>2600</v>
      </c>
      <c r="E14" s="5" t="n">
        <v>3250.6</v>
      </c>
      <c r="F14" s="6" t="n">
        <f aca="false">E14</f>
        <v>3250.6</v>
      </c>
      <c r="H14" s="7" t="n">
        <f aca="false">IFERROR((F14/B14)^(1/(40-26))-1,"")</f>
        <v>0.0160799232616151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364.9</v>
      </c>
      <c r="C2" s="5" t="n">
        <v>285.3</v>
      </c>
      <c r="D2" s="5" t="n">
        <v>237.8</v>
      </c>
      <c r="E2" s="5" t="n">
        <v>188.9</v>
      </c>
      <c r="F2" s="6" t="n">
        <f aca="false">E2</f>
        <v>188.9</v>
      </c>
      <c r="H2" s="7" t="n">
        <f aca="false">IFERROR((F2/B2)^(1/(40-26))-1,"")</f>
        <v>-0.0459402411671246</v>
      </c>
    </row>
    <row r="3" customFormat="false" ht="15" hidden="false" customHeight="false" outlineLevel="0" collapsed="false">
      <c r="A3" s="4" t="s">
        <v>3</v>
      </c>
      <c r="B3" s="5" t="n">
        <v>15863.8</v>
      </c>
      <c r="C3" s="5" t="n">
        <v>17041.7</v>
      </c>
      <c r="D3" s="5" t="n">
        <v>16792.7</v>
      </c>
      <c r="E3" s="5" t="n">
        <v>16834.3</v>
      </c>
      <c r="F3" s="6" t="n">
        <f aca="false">E3+E4</f>
        <v>16834.3</v>
      </c>
      <c r="H3" s="7" t="n">
        <f aca="false">IFERROR((F3/B3)^(1/(40-26))-1,"")</f>
        <v>0.00425034202811614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0</v>
      </c>
      <c r="C5" s="5" t="n">
        <v>0</v>
      </c>
      <c r="D5" s="5" t="n">
        <v>0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3852.1</v>
      </c>
      <c r="C6" s="5" t="n">
        <v>3852.1</v>
      </c>
      <c r="D6" s="5" t="n">
        <v>3852.1</v>
      </c>
      <c r="E6" s="5" t="n">
        <v>4452.1</v>
      </c>
      <c r="F6" s="6" t="n">
        <f aca="false">E6</f>
        <v>4452.1</v>
      </c>
      <c r="H6" s="7" t="n">
        <f aca="false">IFERROR((F6/B6)^(1/(40-26))-1,"")</f>
        <v>0.0103934578312272</v>
      </c>
    </row>
    <row r="7" customFormat="false" ht="15" hidden="false" customHeight="false" outlineLevel="0" collapsed="false">
      <c r="A7" s="4" t="s">
        <v>7</v>
      </c>
      <c r="B7" s="5" t="n">
        <v>2195.8</v>
      </c>
      <c r="C7" s="5" t="n">
        <v>2195.8</v>
      </c>
      <c r="D7" s="5" t="n">
        <v>2195.8</v>
      </c>
      <c r="E7" s="5" t="n">
        <v>2195.8</v>
      </c>
      <c r="F7" s="6" t="n">
        <f aca="false">E7</f>
        <v>2195.8</v>
      </c>
      <c r="H7" s="7" t="n">
        <f aca="false">IFERROR((F7/B7)^(1/(40-26))-1,"")</f>
        <v>0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3167.8</v>
      </c>
      <c r="C9" s="5" t="n">
        <v>3920</v>
      </c>
      <c r="D9" s="5" t="n">
        <v>4165.9</v>
      </c>
      <c r="E9" s="5" t="n">
        <v>5681.2</v>
      </c>
      <c r="F9" s="6" t="n">
        <f aca="false">E9</f>
        <v>5681.2</v>
      </c>
      <c r="H9" s="7" t="n">
        <f aca="false">IFERROR((F9/B9)^(1/(40-26))-1,"")</f>
        <v>0.0426058706329402</v>
      </c>
    </row>
    <row r="10" customFormat="false" ht="15" hidden="false" customHeight="false" outlineLevel="0" collapsed="false">
      <c r="A10" s="4" t="s">
        <v>10</v>
      </c>
      <c r="B10" s="5" t="n">
        <v>3042.5</v>
      </c>
      <c r="C10" s="5" t="n">
        <v>3748.8</v>
      </c>
      <c r="D10" s="5" t="n">
        <v>4237.9</v>
      </c>
      <c r="E10" s="5" t="n">
        <v>4658.1</v>
      </c>
      <c r="F10" s="6" t="n">
        <f aca="false">E10</f>
        <v>4658.1</v>
      </c>
      <c r="H10" s="7" t="n">
        <f aca="false">IFERROR((F10/B10)^(1/(40-26))-1,"")</f>
        <v>0.030890957140286</v>
      </c>
    </row>
    <row r="11" customFormat="false" ht="15" hidden="false" customHeight="false" outlineLevel="0" collapsed="false">
      <c r="A11" s="4" t="s">
        <v>11</v>
      </c>
      <c r="B11" s="5" t="n">
        <v>880</v>
      </c>
      <c r="C11" s="5" t="n">
        <v>1510</v>
      </c>
      <c r="D11" s="5" t="n">
        <v>2400</v>
      </c>
      <c r="E11" s="5" t="n">
        <v>6860</v>
      </c>
      <c r="F11" s="6" t="n">
        <f aca="false">E11</f>
        <v>6860</v>
      </c>
      <c r="H11" s="7" t="n">
        <f aca="false">IFERROR((F11/B11)^(1/(40-26))-1,"")</f>
        <v>0.157985070592523</v>
      </c>
    </row>
    <row r="12" customFormat="false" ht="15" hidden="false" customHeight="false" outlineLevel="0" collapsed="false">
      <c r="A12" s="4" t="s">
        <v>12</v>
      </c>
      <c r="B12" s="5" t="n">
        <v>1262.2</v>
      </c>
      <c r="C12" s="5" t="n">
        <v>6290.6</v>
      </c>
      <c r="D12" s="5" t="n">
        <v>6605.5</v>
      </c>
      <c r="E12" s="5" t="n">
        <v>7295.9</v>
      </c>
      <c r="F12" s="6" t="n">
        <f aca="false">E12</f>
        <v>7295.9</v>
      </c>
      <c r="H12" s="7" t="n">
        <f aca="false">IFERROR((F12/B12)^(1/(40-26))-1,"")</f>
        <v>0.133509201049804</v>
      </c>
    </row>
    <row r="13" customFormat="false" ht="15" hidden="false" customHeight="false" outlineLevel="0" collapsed="false">
      <c r="A13" s="4" t="s">
        <v>13</v>
      </c>
      <c r="B13" s="5" t="n">
        <v>0</v>
      </c>
      <c r="C13" s="5" t="n">
        <v>0</v>
      </c>
      <c r="D13" s="5" t="n">
        <v>0</v>
      </c>
      <c r="E13" s="5" t="n">
        <v>0</v>
      </c>
      <c r="F13" s="6" t="n">
        <f aca="false">E13</f>
        <v>0</v>
      </c>
      <c r="H13" s="7" t="str">
        <f aca="false">IFERROR((F13/B13)^(1/(40-26))-1,"")</f>
        <v/>
      </c>
    </row>
    <row r="14" customFormat="false" ht="15" hidden="false" customHeight="false" outlineLevel="0" collapsed="false">
      <c r="A14" s="4" t="s">
        <v>14</v>
      </c>
      <c r="B14" s="5" t="n">
        <v>1827</v>
      </c>
      <c r="C14" s="5" t="n">
        <v>1827</v>
      </c>
      <c r="D14" s="5" t="n">
        <v>1827</v>
      </c>
      <c r="E14" s="5" t="n">
        <v>2250.4</v>
      </c>
      <c r="F14" s="6" t="n">
        <f aca="false">E14</f>
        <v>2250.4</v>
      </c>
      <c r="H14" s="7" t="n">
        <f aca="false">IFERROR((F14/B14)^(1/(40-26))-1,"")</f>
        <v>0.0149994291268325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0</v>
      </c>
      <c r="C2" s="5" t="n">
        <v>0</v>
      </c>
      <c r="D2" s="5" t="n">
        <v>0</v>
      </c>
      <c r="E2" s="5" t="n">
        <v>0</v>
      </c>
      <c r="F2" s="6" t="n">
        <f aca="false">E2</f>
        <v>0</v>
      </c>
      <c r="H2" s="7" t="str">
        <f aca="false">IFERROR((F2/B2)^(1/(40-26))-1,"")</f>
        <v/>
      </c>
    </row>
    <row r="3" customFormat="false" ht="15" hidden="false" customHeight="false" outlineLevel="0" collapsed="false">
      <c r="A3" s="4" t="s">
        <v>3</v>
      </c>
      <c r="B3" s="5" t="n">
        <v>25440.9</v>
      </c>
      <c r="C3" s="5" t="n">
        <v>26506.6</v>
      </c>
      <c r="D3" s="5" t="n">
        <v>27516</v>
      </c>
      <c r="E3" s="5" t="n">
        <v>30776.7</v>
      </c>
      <c r="F3" s="6" t="n">
        <f aca="false">E3+E4</f>
        <v>30776.7</v>
      </c>
      <c r="H3" s="7" t="n">
        <f aca="false">IFERROR((F3/B3)^(1/(40-26))-1,"")</f>
        <v>0.0136928858273708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0</v>
      </c>
      <c r="C5" s="5" t="n">
        <v>0</v>
      </c>
      <c r="D5" s="5" t="n">
        <v>0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3738.2</v>
      </c>
      <c r="C6" s="5" t="n">
        <v>3738.2</v>
      </c>
      <c r="D6" s="5" t="n">
        <v>3738.2</v>
      </c>
      <c r="E6" s="5" t="n">
        <v>4338.2</v>
      </c>
      <c r="F6" s="6" t="n">
        <f aca="false">E6</f>
        <v>4338.2</v>
      </c>
      <c r="H6" s="7" t="n">
        <f aca="false">IFERROR((F6/B6)^(1/(40-26))-1,"")</f>
        <v>0.0106892477980671</v>
      </c>
    </row>
    <row r="7" customFormat="false" ht="15" hidden="false" customHeight="false" outlineLevel="0" collapsed="false">
      <c r="A7" s="4" t="s">
        <v>7</v>
      </c>
      <c r="B7" s="5" t="n">
        <v>5072.4</v>
      </c>
      <c r="C7" s="5" t="n">
        <v>5078.6</v>
      </c>
      <c r="D7" s="5" t="n">
        <v>5078.6</v>
      </c>
      <c r="E7" s="5" t="n">
        <v>5078.6</v>
      </c>
      <c r="F7" s="6" t="n">
        <f aca="false">E7</f>
        <v>5078.6</v>
      </c>
      <c r="H7" s="7" t="n">
        <f aca="false">IFERROR((F7/B7)^(1/(40-26))-1,"")</f>
        <v>8.72577123431917E-005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2991.9</v>
      </c>
      <c r="C9" s="5" t="n">
        <v>7912</v>
      </c>
      <c r="D9" s="5" t="n">
        <v>7518.9</v>
      </c>
      <c r="E9" s="5" t="n">
        <v>11585.5</v>
      </c>
      <c r="F9" s="6" t="n">
        <f aca="false">E9</f>
        <v>11585.5</v>
      </c>
      <c r="H9" s="7" t="n">
        <f aca="false">IFERROR((F9/B9)^(1/(40-26))-1,"")</f>
        <v>0.10153345915865</v>
      </c>
    </row>
    <row r="10" customFormat="false" ht="15" hidden="false" customHeight="false" outlineLevel="0" collapsed="false">
      <c r="A10" s="4" t="s">
        <v>10</v>
      </c>
      <c r="B10" s="5" t="n">
        <v>2966.6</v>
      </c>
      <c r="C10" s="5" t="n">
        <v>6135.3</v>
      </c>
      <c r="D10" s="5" t="n">
        <v>6421.6</v>
      </c>
      <c r="E10" s="5" t="n">
        <v>8225.2</v>
      </c>
      <c r="F10" s="6" t="n">
        <f aca="false">E10</f>
        <v>8225.2</v>
      </c>
      <c r="H10" s="7" t="n">
        <f aca="false">IFERROR((F10/B10)^(1/(40-26))-1,"")</f>
        <v>0.0755604386830602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1700</v>
      </c>
      <c r="D11" s="5" t="n">
        <v>2910</v>
      </c>
      <c r="E11" s="5" t="n">
        <v>9400</v>
      </c>
      <c r="F11" s="6" t="n">
        <f aca="false">E11</f>
        <v>9400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342.6</v>
      </c>
      <c r="C12" s="5" t="n">
        <v>3005.9</v>
      </c>
      <c r="D12" s="5" t="n">
        <v>4579.6</v>
      </c>
      <c r="E12" s="5" t="n">
        <v>6332.7</v>
      </c>
      <c r="F12" s="6" t="n">
        <f aca="false">E12</f>
        <v>6332.7</v>
      </c>
      <c r="H12" s="7" t="n">
        <f aca="false">IFERROR((F12/B12)^(1/(40-26))-1,"")</f>
        <v>0.231645786428688</v>
      </c>
    </row>
    <row r="13" customFormat="false" ht="15" hidden="false" customHeight="false" outlineLevel="0" collapsed="false">
      <c r="A13" s="4" t="s">
        <v>13</v>
      </c>
      <c r="B13" s="5" t="n">
        <v>115868.5</v>
      </c>
      <c r="C13" s="5" t="n">
        <v>331328.8</v>
      </c>
      <c r="D13" s="5" t="n">
        <v>355319.9</v>
      </c>
      <c r="E13" s="5" t="n">
        <v>355553.2</v>
      </c>
      <c r="F13" s="6" t="n">
        <f aca="false">E13</f>
        <v>355553.2</v>
      </c>
      <c r="H13" s="7" t="n">
        <f aca="false">IFERROR((F13/B13)^(1/(40-26))-1,"")</f>
        <v>0.0833813919649169</v>
      </c>
    </row>
    <row r="14" customFormat="false" ht="15" hidden="false" customHeight="false" outlineLevel="0" collapsed="false">
      <c r="A14" s="4" t="s">
        <v>14</v>
      </c>
      <c r="B14" s="5" t="n">
        <v>1421</v>
      </c>
      <c r="C14" s="5" t="n">
        <v>1508.2</v>
      </c>
      <c r="D14" s="5" t="n">
        <v>1577.1</v>
      </c>
      <c r="E14" s="5" t="n">
        <v>1750.3</v>
      </c>
      <c r="F14" s="6" t="n">
        <f aca="false">E14</f>
        <v>1750.3</v>
      </c>
      <c r="H14" s="7" t="n">
        <f aca="false">IFERROR((F14/B14)^(1/(40-26))-1,"")</f>
        <v>0.0149989688900942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34577.8</v>
      </c>
      <c r="C2" s="5" t="n">
        <v>27033.6</v>
      </c>
      <c r="D2" s="5" t="n">
        <v>22532.2</v>
      </c>
      <c r="E2" s="5" t="n">
        <v>17896.6</v>
      </c>
      <c r="F2" s="6" t="n">
        <f aca="false">E2</f>
        <v>17896.6</v>
      </c>
      <c r="H2" s="7" t="n">
        <f aca="false">IFERROR((F2/B2)^(1/(40-26))-1,"")</f>
        <v>-0.0459535664291338</v>
      </c>
    </row>
    <row r="3" customFormat="false" ht="15" hidden="false" customHeight="false" outlineLevel="0" collapsed="false">
      <c r="A3" s="4" t="s">
        <v>3</v>
      </c>
      <c r="B3" s="5" t="n">
        <v>98624</v>
      </c>
      <c r="C3" s="5" t="n">
        <v>128335.3</v>
      </c>
      <c r="D3" s="5" t="n">
        <v>158689.2</v>
      </c>
      <c r="E3" s="5" t="n">
        <v>178626.8</v>
      </c>
      <c r="F3" s="6" t="n">
        <f aca="false">E3+E4</f>
        <v>178626.8</v>
      </c>
      <c r="H3" s="7" t="n">
        <f aca="false">IFERROR((F3/B3)^(1/(40-26))-1,"")</f>
        <v>0.0433403424033758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0</v>
      </c>
      <c r="C5" s="5" t="n">
        <v>0</v>
      </c>
      <c r="D5" s="5" t="n">
        <v>0</v>
      </c>
      <c r="E5" s="5" t="n">
        <v>5978.3</v>
      </c>
      <c r="F5" s="6" t="n">
        <f aca="false">E5</f>
        <v>5978.3</v>
      </c>
      <c r="H5" s="7"/>
    </row>
    <row r="6" customFormat="false" ht="15" hidden="false" customHeight="false" outlineLevel="0" collapsed="false">
      <c r="A6" s="4" t="s">
        <v>6</v>
      </c>
      <c r="B6" s="5" t="n">
        <v>37913.3</v>
      </c>
      <c r="C6" s="5" t="n">
        <v>39025.1</v>
      </c>
      <c r="D6" s="5" t="n">
        <v>40555.5</v>
      </c>
      <c r="E6" s="5" t="n">
        <v>47729.1</v>
      </c>
      <c r="F6" s="6" t="n">
        <f aca="false">E6</f>
        <v>47729.1</v>
      </c>
      <c r="H6" s="7" t="n">
        <f aca="false">IFERROR((F6/B6)^(1/(40-26))-1,"")</f>
        <v>0.0165816386512829</v>
      </c>
    </row>
    <row r="7" customFormat="false" ht="15" hidden="false" customHeight="false" outlineLevel="0" collapsed="false">
      <c r="A7" s="4" t="s">
        <v>7</v>
      </c>
      <c r="B7" s="5" t="n">
        <v>3762</v>
      </c>
      <c r="C7" s="5" t="n">
        <v>4324.3</v>
      </c>
      <c r="D7" s="5" t="n">
        <v>6928.7</v>
      </c>
      <c r="E7" s="5" t="n">
        <v>9533</v>
      </c>
      <c r="F7" s="6" t="n">
        <f aca="false">E7</f>
        <v>9533</v>
      </c>
      <c r="H7" s="7" t="n">
        <f aca="false">IFERROR((F7/B7)^(1/(40-26))-1,"")</f>
        <v>0.06867002651133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18163.7</v>
      </c>
      <c r="C9" s="5" t="n">
        <v>35949.1</v>
      </c>
      <c r="D9" s="5" t="n">
        <v>48583.9</v>
      </c>
      <c r="E9" s="5" t="n">
        <v>121534.2</v>
      </c>
      <c r="F9" s="6" t="n">
        <f aca="false">E9</f>
        <v>121534.2</v>
      </c>
      <c r="H9" s="7" t="n">
        <f aca="false">IFERROR((F9/B9)^(1/(40-26))-1,"")</f>
        <v>0.14541764862717</v>
      </c>
    </row>
    <row r="10" customFormat="false" ht="15" hidden="false" customHeight="false" outlineLevel="0" collapsed="false">
      <c r="A10" s="4" t="s">
        <v>10</v>
      </c>
      <c r="B10" s="5" t="n">
        <v>9800.9</v>
      </c>
      <c r="C10" s="5" t="n">
        <v>16835.7</v>
      </c>
      <c r="D10" s="5" t="n">
        <v>19529.1</v>
      </c>
      <c r="E10" s="5" t="n">
        <v>30890.5</v>
      </c>
      <c r="F10" s="6" t="n">
        <f aca="false">E10</f>
        <v>30890.5</v>
      </c>
      <c r="H10" s="7" t="n">
        <f aca="false">IFERROR((F10/B10)^(1/(40-26))-1,"")</f>
        <v>0.0854538308184831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2600</v>
      </c>
      <c r="D11" s="5" t="n">
        <v>3840</v>
      </c>
      <c r="E11" s="5" t="n">
        <v>9740</v>
      </c>
      <c r="F11" s="6" t="n">
        <f aca="false">E11</f>
        <v>9740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833.9</v>
      </c>
      <c r="C12" s="5" t="n">
        <v>7607.9</v>
      </c>
      <c r="D12" s="5" t="n">
        <v>14995.3</v>
      </c>
      <c r="E12" s="5" t="n">
        <v>22836.8</v>
      </c>
      <c r="F12" s="6" t="n">
        <f aca="false">E12</f>
        <v>22836.8</v>
      </c>
      <c r="H12" s="7" t="n">
        <f aca="false">IFERROR((F12/B12)^(1/(40-26))-1,"")</f>
        <v>0.266718435023487</v>
      </c>
    </row>
    <row r="13" customFormat="false" ht="15" hidden="false" customHeight="false" outlineLevel="0" collapsed="false">
      <c r="A13" s="4" t="s">
        <v>13</v>
      </c>
      <c r="B13" s="5" t="n">
        <v>697277.7</v>
      </c>
      <c r="C13" s="5" t="n">
        <v>3223726.9</v>
      </c>
      <c r="D13" s="5" t="n">
        <v>3280899.8</v>
      </c>
      <c r="E13" s="5" t="n">
        <v>3281166.5</v>
      </c>
      <c r="F13" s="6" t="n">
        <f aca="false">E13</f>
        <v>3281166.5</v>
      </c>
      <c r="H13" s="7" t="n">
        <f aca="false">IFERROR((F13/B13)^(1/(40-26))-1,"")</f>
        <v>0.116977599903321</v>
      </c>
    </row>
    <row r="14" customFormat="false" ht="15" hidden="false" customHeight="false" outlineLevel="0" collapsed="false">
      <c r="A14" s="4" t="s">
        <v>14</v>
      </c>
      <c r="B14" s="5" t="n">
        <v>5075</v>
      </c>
      <c r="C14" s="5" t="n">
        <v>5386.4</v>
      </c>
      <c r="D14" s="5" t="n">
        <v>5632.5</v>
      </c>
      <c r="E14" s="5" t="n">
        <v>5889.7</v>
      </c>
      <c r="F14" s="6" t="n">
        <f aca="false">E14</f>
        <v>5889.7</v>
      </c>
      <c r="H14" s="7" t="n">
        <f aca="false">IFERROR((F14/B14)^(1/(40-26))-1,"")</f>
        <v>0.0106909251295844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41427.2</v>
      </c>
      <c r="C2" s="5" t="n">
        <v>32388.5</v>
      </c>
      <c r="D2" s="5" t="n">
        <v>26995.5</v>
      </c>
      <c r="E2" s="5" t="n">
        <v>21441.6</v>
      </c>
      <c r="F2" s="6" t="n">
        <f aca="false">E2</f>
        <v>21441.6</v>
      </c>
      <c r="H2" s="7" t="n">
        <f aca="false">IFERROR((F2/B2)^(1/(40-26))-1,"")</f>
        <v>-0.0459538119376054</v>
      </c>
    </row>
    <row r="3" customFormat="false" ht="15" hidden="false" customHeight="false" outlineLevel="0" collapsed="false">
      <c r="A3" s="4" t="s">
        <v>3</v>
      </c>
      <c r="B3" s="5" t="n">
        <v>131738.8</v>
      </c>
      <c r="C3" s="5" t="n">
        <v>163992.3</v>
      </c>
      <c r="D3" s="5" t="n">
        <v>230239.2</v>
      </c>
      <c r="E3" s="5" t="n">
        <v>245582.1</v>
      </c>
      <c r="F3" s="6" t="n">
        <f aca="false">E3+E4</f>
        <v>245582.1</v>
      </c>
      <c r="H3" s="7" t="n">
        <f aca="false">IFERROR((F3/B3)^(1/(40-26))-1,"")</f>
        <v>0.0454907980086754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99.6</v>
      </c>
      <c r="C5" s="5" t="n">
        <v>71.2</v>
      </c>
      <c r="D5" s="5" t="n">
        <v>35.6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36502.6</v>
      </c>
      <c r="C6" s="5" t="n">
        <v>37027.3</v>
      </c>
      <c r="D6" s="5" t="n">
        <v>37357.3</v>
      </c>
      <c r="E6" s="5" t="n">
        <v>50384.7</v>
      </c>
      <c r="F6" s="6" t="n">
        <f aca="false">E6</f>
        <v>50384.7</v>
      </c>
      <c r="H6" s="7" t="n">
        <f aca="false">IFERROR((F6/B6)^(1/(40-26))-1,"")</f>
        <v>0.0232887641608333</v>
      </c>
    </row>
    <row r="7" customFormat="false" ht="15" hidden="false" customHeight="false" outlineLevel="0" collapsed="false">
      <c r="A7" s="4" t="s">
        <v>7</v>
      </c>
      <c r="B7" s="5" t="n">
        <v>12755</v>
      </c>
      <c r="C7" s="5" t="n">
        <v>12846.8</v>
      </c>
      <c r="D7" s="5" t="n">
        <v>13164.4</v>
      </c>
      <c r="E7" s="5" t="n">
        <v>13481.9</v>
      </c>
      <c r="F7" s="6" t="n">
        <f aca="false">E7</f>
        <v>13481.9</v>
      </c>
      <c r="H7" s="7" t="n">
        <f aca="false">IFERROR((F7/B7)^(1/(40-26))-1,"")</f>
        <v>0.0039667535020651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28898.9</v>
      </c>
      <c r="C9" s="5" t="n">
        <v>51459.3</v>
      </c>
      <c r="D9" s="5" t="n">
        <v>70711.3</v>
      </c>
      <c r="E9" s="5" t="n">
        <v>112713.6</v>
      </c>
      <c r="F9" s="6" t="n">
        <f aca="false">E9</f>
        <v>112713.6</v>
      </c>
      <c r="H9" s="7" t="n">
        <f aca="false">IFERROR((F9/B9)^(1/(40-26))-1,"")</f>
        <v>0.102100176808073</v>
      </c>
    </row>
    <row r="10" customFormat="false" ht="15" hidden="false" customHeight="false" outlineLevel="0" collapsed="false">
      <c r="A10" s="4" t="s">
        <v>10</v>
      </c>
      <c r="B10" s="5" t="n">
        <v>3905.6</v>
      </c>
      <c r="C10" s="5" t="n">
        <v>3945.8</v>
      </c>
      <c r="D10" s="5" t="n">
        <v>6941.4</v>
      </c>
      <c r="E10" s="5" t="n">
        <v>17542.7</v>
      </c>
      <c r="F10" s="6" t="n">
        <f aca="false">E10</f>
        <v>17542.7</v>
      </c>
      <c r="H10" s="7" t="n">
        <f aca="false">IFERROR((F10/B10)^(1/(40-26))-1,"")</f>
        <v>0.113270291172477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f aca="false">E11</f>
        <v>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2453</v>
      </c>
      <c r="C12" s="5" t="n">
        <v>18829.4</v>
      </c>
      <c r="D12" s="5" t="n">
        <v>21158.5</v>
      </c>
      <c r="E12" s="5" t="n">
        <v>30403.8</v>
      </c>
      <c r="F12" s="6" t="n">
        <f aca="false">E12</f>
        <v>30403.8</v>
      </c>
      <c r="H12" s="7" t="n">
        <f aca="false">IFERROR((F12/B12)^(1/(40-26))-1,"")</f>
        <v>0.19698271743369</v>
      </c>
    </row>
    <row r="13" customFormat="false" ht="15" hidden="false" customHeight="false" outlineLevel="0" collapsed="false">
      <c r="A13" s="4" t="s">
        <v>13</v>
      </c>
      <c r="B13" s="5" t="n">
        <v>18006.4</v>
      </c>
      <c r="C13" s="5" t="n">
        <v>18539.8</v>
      </c>
      <c r="D13" s="5" t="n">
        <v>18806.4</v>
      </c>
      <c r="E13" s="5" t="n">
        <v>19873.1</v>
      </c>
      <c r="F13" s="6" t="n">
        <f aca="false">E13</f>
        <v>19873.1</v>
      </c>
      <c r="H13" s="7" t="n">
        <f aca="false">IFERROR((F13/B13)^(1/(40-26))-1,"")</f>
        <v>0.00707057993269444</v>
      </c>
    </row>
    <row r="14" customFormat="false" ht="15" hidden="false" customHeight="false" outlineLevel="0" collapsed="false">
      <c r="A14" s="4" t="s">
        <v>14</v>
      </c>
      <c r="B14" s="5" t="n">
        <v>6597.5</v>
      </c>
      <c r="C14" s="5" t="n">
        <v>7002.3</v>
      </c>
      <c r="D14" s="5" t="n">
        <v>7214</v>
      </c>
      <c r="E14" s="5" t="n">
        <v>8126.5</v>
      </c>
      <c r="F14" s="6" t="n">
        <f aca="false">E14</f>
        <v>8126.5</v>
      </c>
      <c r="H14" s="7" t="n">
        <f aca="false">IFERROR((F14/B14)^(1/(40-26))-1,"")</f>
        <v>0.0149999247633628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22034.4</v>
      </c>
      <c r="C2" s="5" t="n">
        <v>17226.9</v>
      </c>
      <c r="D2" s="5" t="n">
        <v>12820</v>
      </c>
      <c r="E2" s="5" t="n">
        <v>11404.5</v>
      </c>
      <c r="F2" s="6" t="n">
        <f aca="false">E2</f>
        <v>11404.5</v>
      </c>
      <c r="H2" s="7" t="n">
        <f aca="false">IFERROR((F2/B2)^(1/(40-26))-1,"")</f>
        <v>-0.0459532766164029</v>
      </c>
    </row>
    <row r="3" customFormat="false" ht="15" hidden="false" customHeight="false" outlineLevel="0" collapsed="false">
      <c r="A3" s="4" t="s">
        <v>3</v>
      </c>
      <c r="B3" s="5" t="n">
        <v>35059.8</v>
      </c>
      <c r="C3" s="5" t="n">
        <v>59715.4</v>
      </c>
      <c r="D3" s="5" t="n">
        <v>69073.2</v>
      </c>
      <c r="E3" s="5" t="n">
        <v>66909.2</v>
      </c>
      <c r="F3" s="6" t="n">
        <f aca="false">E3+E4</f>
        <v>66909.2</v>
      </c>
      <c r="H3" s="7" t="n">
        <f aca="false">IFERROR((F3/B3)^(1/(40-26))-1,"")</f>
        <v>0.0472450457385387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17.6</v>
      </c>
      <c r="C5" s="5" t="n">
        <v>12.5</v>
      </c>
      <c r="D5" s="5" t="n">
        <v>6.3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2112.3</v>
      </c>
      <c r="C6" s="5" t="n">
        <v>2112.3</v>
      </c>
      <c r="D6" s="5" t="n">
        <v>2112.3</v>
      </c>
      <c r="E6" s="5" t="n">
        <v>5096.5</v>
      </c>
      <c r="F6" s="6" t="n">
        <f aca="false">E6</f>
        <v>5096.5</v>
      </c>
      <c r="H6" s="7" t="n">
        <f aca="false">IFERROR((F6/B6)^(1/(40-26))-1,"")</f>
        <v>0.0649337773279757</v>
      </c>
    </row>
    <row r="7" customFormat="false" ht="15" hidden="false" customHeight="false" outlineLevel="0" collapsed="false">
      <c r="A7" s="4" t="s">
        <v>7</v>
      </c>
      <c r="B7" s="5" t="n">
        <v>4634.3</v>
      </c>
      <c r="C7" s="5" t="n">
        <v>5227.7</v>
      </c>
      <c r="D7" s="5" t="n">
        <v>5227.7</v>
      </c>
      <c r="E7" s="5" t="n">
        <v>5227.7</v>
      </c>
      <c r="F7" s="6" t="n">
        <f aca="false">E7</f>
        <v>5227.7</v>
      </c>
      <c r="H7" s="7" t="n">
        <f aca="false">IFERROR((F7/B7)^(1/(40-26))-1,"")</f>
        <v>0.00864330003714797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3929.4</v>
      </c>
      <c r="C9" s="5" t="n">
        <v>10692</v>
      </c>
      <c r="D9" s="5" t="n">
        <v>16445.2</v>
      </c>
      <c r="E9" s="5" t="n">
        <v>31636.9</v>
      </c>
      <c r="F9" s="6" t="n">
        <f aca="false">E9</f>
        <v>31636.9</v>
      </c>
      <c r="H9" s="7" t="n">
        <f aca="false">IFERROR((F9/B9)^(1/(40-26))-1,"")</f>
        <v>0.160659510423882</v>
      </c>
    </row>
    <row r="10" customFormat="false" ht="15" hidden="false" customHeight="false" outlineLevel="0" collapsed="false">
      <c r="A10" s="4" t="s">
        <v>10</v>
      </c>
      <c r="B10" s="5" t="n">
        <v>33322</v>
      </c>
      <c r="C10" s="5" t="n">
        <v>38794.5</v>
      </c>
      <c r="D10" s="5" t="n">
        <v>61129</v>
      </c>
      <c r="E10" s="5" t="n">
        <v>103497.6</v>
      </c>
      <c r="F10" s="6" t="n">
        <f aca="false">E10</f>
        <v>103497.6</v>
      </c>
      <c r="H10" s="7" t="n">
        <f aca="false">IFERROR((F10/B10)^(1/(40-26))-1,"")</f>
        <v>0.084319048187774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f aca="false">E11</f>
        <v>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1033.9</v>
      </c>
      <c r="C12" s="5" t="n">
        <v>3115.8</v>
      </c>
      <c r="D12" s="5" t="n">
        <v>4692.1</v>
      </c>
      <c r="E12" s="5" t="n">
        <v>6454.4</v>
      </c>
      <c r="F12" s="6" t="n">
        <f aca="false">E12</f>
        <v>6454.4</v>
      </c>
      <c r="H12" s="7" t="n">
        <f aca="false">IFERROR((F12/B12)^(1/(40-26))-1,"")</f>
        <v>0.139758047282737</v>
      </c>
    </row>
    <row r="13" customFormat="false" ht="15" hidden="false" customHeight="false" outlineLevel="0" collapsed="false">
      <c r="A13" s="4" t="s">
        <v>13</v>
      </c>
      <c r="B13" s="5" t="n">
        <v>0</v>
      </c>
      <c r="C13" s="5" t="n">
        <v>0</v>
      </c>
      <c r="D13" s="5" t="n">
        <v>0</v>
      </c>
      <c r="E13" s="5" t="n">
        <v>1500</v>
      </c>
      <c r="F13" s="6" t="n">
        <f aca="false">E13</f>
        <v>1500</v>
      </c>
      <c r="H13" s="7" t="str">
        <f aca="false">IFERROR((F13/B13)^(1/(40-26))-1,"")</f>
        <v/>
      </c>
    </row>
    <row r="14" customFormat="false" ht="15" hidden="false" customHeight="false" outlineLevel="0" collapsed="false">
      <c r="A14" s="4" t="s">
        <v>14</v>
      </c>
      <c r="B14" s="5" t="n">
        <v>0</v>
      </c>
      <c r="C14" s="5" t="n">
        <v>0</v>
      </c>
      <c r="D14" s="5" t="n">
        <v>0</v>
      </c>
      <c r="E14" s="5" t="n">
        <v>0</v>
      </c>
      <c r="F14" s="6" t="n">
        <f aca="false">E14</f>
        <v>0</v>
      </c>
      <c r="H14" s="7" t="str">
        <f aca="false">IFERROR((F14/B14)^(1/(40-26))-1,"")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18304.1</v>
      </c>
      <c r="C2" s="5" t="n">
        <v>14310.5</v>
      </c>
      <c r="D2" s="5" t="n">
        <v>11927.6</v>
      </c>
      <c r="E2" s="5" t="n">
        <v>9473.8</v>
      </c>
      <c r="F2" s="6" t="n">
        <f aca="false">E2</f>
        <v>9473.8</v>
      </c>
      <c r="H2" s="7" t="n">
        <f aca="false">IFERROR((F2/B2)^(1/(40-26))-1,"")</f>
        <v>-0.0459531492127822</v>
      </c>
    </row>
    <row r="3" customFormat="false" ht="15" hidden="false" customHeight="false" outlineLevel="0" collapsed="false">
      <c r="A3" s="4" t="s">
        <v>3</v>
      </c>
      <c r="B3" s="5" t="n">
        <v>45551.6</v>
      </c>
      <c r="C3" s="5" t="n">
        <v>52287.4</v>
      </c>
      <c r="D3" s="5" t="n">
        <v>55229.9</v>
      </c>
      <c r="E3" s="5" t="n">
        <v>57874.4</v>
      </c>
      <c r="F3" s="6" t="n">
        <f aca="false">E3+E4</f>
        <v>57874.4</v>
      </c>
      <c r="H3" s="7" t="n">
        <f aca="false">IFERROR((F3/B3)^(1/(40-26))-1,"")</f>
        <v>0.0172491778634452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1387.9</v>
      </c>
      <c r="C5" s="5" t="n">
        <v>991.4</v>
      </c>
      <c r="D5" s="5" t="n">
        <v>495.7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5410.6</v>
      </c>
      <c r="C6" s="5" t="n">
        <v>6075.6</v>
      </c>
      <c r="D6" s="5" t="n">
        <v>6740.6</v>
      </c>
      <c r="E6" s="5" t="n">
        <v>14062.6</v>
      </c>
      <c r="F6" s="6" t="n">
        <f aca="false">E6</f>
        <v>14062.6</v>
      </c>
      <c r="H6" s="7" t="n">
        <f aca="false">IFERROR((F6/B6)^(1/(40-26))-1,"")</f>
        <v>0.0706068406153171</v>
      </c>
    </row>
    <row r="7" customFormat="false" ht="15" hidden="false" customHeight="false" outlineLevel="0" collapsed="false">
      <c r="A7" s="4" t="s">
        <v>7</v>
      </c>
      <c r="B7" s="5" t="n">
        <v>39276.3</v>
      </c>
      <c r="C7" s="5" t="n">
        <v>42876.7</v>
      </c>
      <c r="D7" s="5" t="n">
        <v>50008.4</v>
      </c>
      <c r="E7" s="5" t="n">
        <v>59296.3</v>
      </c>
      <c r="F7" s="6" t="n">
        <f aca="false">E7</f>
        <v>59296.3</v>
      </c>
      <c r="H7" s="7" t="n">
        <f aca="false">IFERROR((F7/B7)^(1/(40-26))-1,"")</f>
        <v>0.02986039991669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23521.6</v>
      </c>
      <c r="C9" s="5" t="n">
        <v>52388.4</v>
      </c>
      <c r="D9" s="5" t="n">
        <v>78020.5</v>
      </c>
      <c r="E9" s="5" t="n">
        <v>203424.8</v>
      </c>
      <c r="F9" s="6" t="n">
        <f aca="false">E9</f>
        <v>203424.8</v>
      </c>
      <c r="H9" s="7" t="n">
        <f aca="false">IFERROR((F9/B9)^(1/(40-26))-1,"")</f>
        <v>0.166605646421639</v>
      </c>
    </row>
    <row r="10" customFormat="false" ht="15" hidden="false" customHeight="false" outlineLevel="0" collapsed="false">
      <c r="A10" s="4" t="s">
        <v>10</v>
      </c>
      <c r="B10" s="5" t="n">
        <v>25953.2</v>
      </c>
      <c r="C10" s="5" t="n">
        <v>39081.6</v>
      </c>
      <c r="D10" s="5" t="n">
        <v>51394.5</v>
      </c>
      <c r="E10" s="5" t="n">
        <v>74922.5</v>
      </c>
      <c r="F10" s="6" t="n">
        <f aca="false">E10</f>
        <v>74922.5</v>
      </c>
      <c r="H10" s="7" t="n">
        <f aca="false">IFERROR((F10/B10)^(1/(40-26))-1,"")</f>
        <v>0.078666619088011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f aca="false">E11</f>
        <v>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10918.5</v>
      </c>
      <c r="C12" s="5" t="n">
        <v>34922.2</v>
      </c>
      <c r="D12" s="5" t="n">
        <v>42562.8</v>
      </c>
      <c r="E12" s="5" t="n">
        <v>52288.3</v>
      </c>
      <c r="F12" s="6" t="n">
        <f aca="false">E12</f>
        <v>52288.3</v>
      </c>
      <c r="H12" s="7" t="n">
        <f aca="false">IFERROR((F12/B12)^(1/(40-26))-1,"")</f>
        <v>0.118378170919726</v>
      </c>
    </row>
    <row r="13" customFormat="false" ht="15" hidden="false" customHeight="false" outlineLevel="0" collapsed="false">
      <c r="A13" s="4" t="s">
        <v>13</v>
      </c>
      <c r="B13" s="5" t="n">
        <v>0</v>
      </c>
      <c r="C13" s="5" t="n">
        <v>0</v>
      </c>
      <c r="D13" s="5" t="n">
        <v>0</v>
      </c>
      <c r="E13" s="5" t="n">
        <v>1000</v>
      </c>
      <c r="F13" s="6" t="n">
        <f aca="false">E13</f>
        <v>1000</v>
      </c>
      <c r="H13" s="7" t="str">
        <f aca="false">IFERROR((F13/B13)^(1/(40-26))-1,"")</f>
        <v/>
      </c>
    </row>
    <row r="14" customFormat="false" ht="15" hidden="false" customHeight="false" outlineLevel="0" collapsed="false">
      <c r="A14" s="4" t="s">
        <v>14</v>
      </c>
      <c r="B14" s="5" t="n">
        <v>1500</v>
      </c>
      <c r="C14" s="5" t="n">
        <v>1500</v>
      </c>
      <c r="D14" s="5" t="n">
        <v>1500</v>
      </c>
      <c r="E14" s="5" t="n">
        <v>1500</v>
      </c>
      <c r="F14" s="6" t="n">
        <f aca="false">E14</f>
        <v>1500</v>
      </c>
      <c r="H14" s="7" t="n">
        <f aca="false">IFERROR((F14/B14)^(1/(40-26))-1,"")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3094</v>
      </c>
      <c r="C2" s="5" t="n">
        <v>2940</v>
      </c>
      <c r="D2" s="5" t="n">
        <v>1530</v>
      </c>
      <c r="E2" s="5" t="n">
        <v>1530</v>
      </c>
      <c r="F2" s="6" t="n">
        <f aca="false">E2</f>
        <v>1530</v>
      </c>
      <c r="H2" s="7" t="n">
        <f aca="false">IFERROR((F2/B2)^(1/(40-26))-1,"")</f>
        <v>-0.0490556988893364</v>
      </c>
    </row>
    <row r="3" customFormat="false" ht="15" hidden="false" customHeight="false" outlineLevel="0" collapsed="false">
      <c r="A3" s="4" t="s">
        <v>3</v>
      </c>
      <c r="B3" s="5" t="n">
        <v>31914.4</v>
      </c>
      <c r="C3" s="5" t="n">
        <v>41043.4</v>
      </c>
      <c r="D3" s="5" t="n">
        <v>35666.8</v>
      </c>
      <c r="E3" s="5" t="n">
        <v>31788.1</v>
      </c>
      <c r="F3" s="6" t="n">
        <f aca="false">E3+E4</f>
        <v>31788.1</v>
      </c>
      <c r="H3" s="7" t="n">
        <f aca="false">IFERROR((F3/B3)^(1/(40-26))-1,"")</f>
        <v>-0.000283196512279815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3617.4</v>
      </c>
      <c r="C5" s="5" t="n">
        <v>3827.5</v>
      </c>
      <c r="D5" s="5" t="n">
        <v>2976.3</v>
      </c>
      <c r="E5" s="5" t="n">
        <v>2608.1</v>
      </c>
      <c r="F5" s="6" t="n">
        <f aca="false">E5</f>
        <v>2608.1</v>
      </c>
      <c r="H5" s="7"/>
    </row>
    <row r="6" customFormat="false" ht="15" hidden="false" customHeight="false" outlineLevel="0" collapsed="false">
      <c r="A6" s="4" t="s">
        <v>6</v>
      </c>
      <c r="B6" s="5" t="n">
        <v>12903</v>
      </c>
      <c r="C6" s="5" t="n">
        <v>12903</v>
      </c>
      <c r="D6" s="5" t="n">
        <v>15329.7</v>
      </c>
      <c r="E6" s="5" t="n">
        <v>17476.4</v>
      </c>
      <c r="F6" s="6" t="n">
        <f aca="false">E6</f>
        <v>17476.4</v>
      </c>
      <c r="H6" s="7" t="n">
        <f aca="false">IFERROR((F6/B6)^(1/(40-26))-1,"")</f>
        <v>0.0219073432527774</v>
      </c>
    </row>
    <row r="7" customFormat="false" ht="15" hidden="false" customHeight="false" outlineLevel="0" collapsed="false">
      <c r="A7" s="4" t="s">
        <v>7</v>
      </c>
      <c r="B7" s="5" t="n">
        <v>84735.4</v>
      </c>
      <c r="C7" s="5" t="n">
        <v>85343.4</v>
      </c>
      <c r="D7" s="5" t="n">
        <v>93890</v>
      </c>
      <c r="E7" s="5" t="n">
        <v>100598.7</v>
      </c>
      <c r="F7" s="6" t="n">
        <f aca="false">E7</f>
        <v>100598.7</v>
      </c>
      <c r="H7" s="7" t="n">
        <f aca="false">IFERROR((F7/B7)^(1/(40-26))-1,"")</f>
        <v>0.0123329943135282</v>
      </c>
    </row>
    <row r="8" customFormat="false" ht="15" hidden="false" customHeight="false" outlineLevel="0" collapsed="false">
      <c r="A8" s="4" t="s">
        <v>8</v>
      </c>
      <c r="B8" s="5" t="n">
        <v>2941.8</v>
      </c>
      <c r="C8" s="5" t="n">
        <v>3075.2</v>
      </c>
      <c r="D8" s="5" t="n">
        <v>2690.8</v>
      </c>
      <c r="E8" s="5" t="n">
        <v>2690.8</v>
      </c>
      <c r="F8" s="6" t="n">
        <f aca="false">E8</f>
        <v>2690.8</v>
      </c>
      <c r="H8" s="7"/>
    </row>
    <row r="9" customFormat="false" ht="15" hidden="false" customHeight="false" outlineLevel="0" collapsed="false">
      <c r="A9" s="4" t="s">
        <v>9</v>
      </c>
      <c r="B9" s="5" t="n">
        <v>10179.5</v>
      </c>
      <c r="C9" s="5" t="n">
        <v>13277.1</v>
      </c>
      <c r="D9" s="5" t="n">
        <v>14381.4</v>
      </c>
      <c r="E9" s="5" t="n">
        <v>43226</v>
      </c>
      <c r="F9" s="6" t="n">
        <f aca="false">E9</f>
        <v>43226</v>
      </c>
      <c r="H9" s="7" t="n">
        <f aca="false">IFERROR((F9/B9)^(1/(40-26))-1,"")</f>
        <v>0.108813414954191</v>
      </c>
    </row>
    <row r="10" customFormat="false" ht="15" hidden="false" customHeight="false" outlineLevel="0" collapsed="false">
      <c r="A10" s="4" t="s">
        <v>10</v>
      </c>
      <c r="B10" s="5" t="n">
        <v>20129.9</v>
      </c>
      <c r="C10" s="5" t="n">
        <v>31488.1</v>
      </c>
      <c r="D10" s="5" t="n">
        <v>68410.7</v>
      </c>
      <c r="E10" s="5" t="n">
        <v>111463.9</v>
      </c>
      <c r="F10" s="6" t="n">
        <f aca="false">E10</f>
        <v>111463.9</v>
      </c>
      <c r="H10" s="7" t="n">
        <f aca="false">IFERROR((F10/B10)^(1/(40-26))-1,"")</f>
        <v>0.130036131648936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20076.4</v>
      </c>
      <c r="D11" s="5" t="n">
        <v>44616.4</v>
      </c>
      <c r="E11" s="5" t="n">
        <v>74640.2</v>
      </c>
      <c r="F11" s="6" t="n">
        <f aca="false">E11</f>
        <v>74640.2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2534.2</v>
      </c>
      <c r="C12" s="5" t="n">
        <v>4109.5</v>
      </c>
      <c r="D12" s="5" t="n">
        <v>5169.7</v>
      </c>
      <c r="E12" s="5" t="n">
        <v>8384.5</v>
      </c>
      <c r="F12" s="6" t="n">
        <f aca="false">E12</f>
        <v>8384.5</v>
      </c>
      <c r="H12" s="7" t="n">
        <f aca="false">IFERROR((F12/B12)^(1/(40-26))-1,"")</f>
        <v>0.0892231856097643</v>
      </c>
    </row>
    <row r="13" customFormat="false" ht="15" hidden="false" customHeight="false" outlineLevel="0" collapsed="false">
      <c r="A13" s="4" t="s">
        <v>13</v>
      </c>
      <c r="B13" s="5" t="n">
        <v>0</v>
      </c>
      <c r="C13" s="5" t="n">
        <v>0</v>
      </c>
      <c r="D13" s="5" t="n">
        <v>0</v>
      </c>
      <c r="E13" s="5" t="n">
        <v>1000</v>
      </c>
      <c r="F13" s="6" t="n">
        <f aca="false">E13</f>
        <v>1000</v>
      </c>
      <c r="H13" s="7" t="str">
        <f aca="false">IFERROR((F13/B13)^(1/(40-26))-1,"")</f>
        <v/>
      </c>
    </row>
    <row r="14" customFormat="false" ht="15" hidden="false" customHeight="false" outlineLevel="0" collapsed="false">
      <c r="A14" s="4" t="s">
        <v>14</v>
      </c>
      <c r="B14" s="5" t="n">
        <v>174</v>
      </c>
      <c r="C14" s="5" t="n">
        <v>174</v>
      </c>
      <c r="D14" s="5" t="n">
        <v>174</v>
      </c>
      <c r="E14" s="5" t="n">
        <v>217.5</v>
      </c>
      <c r="F14" s="6" t="n">
        <f aca="false">E14</f>
        <v>217.5</v>
      </c>
      <c r="H14" s="7" t="n">
        <f aca="false">IFERROR((F14/B14)^(1/(40-26))-1,"")</f>
        <v>0.0160665257304768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2026-06-19T08:43:11Z</dcterms:created>
  <dc:creator>openpyxl</dc:creator>
  <dc:description/>
  <dc:language>en-US</dc:language>
  <cp:lastModifiedBy>Loeffler, Konstantin Emanuel</cp:lastModifiedBy>
  <dcterms:modified xsi:type="dcterms:W3CDTF">2026-07-08T09:45:35Z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0x01010082ADAD4575580A45A32A311003C10D23</vt:lpwstr>
  </property>
  <property fmtid="{D5CDD505-2E9C-101B-9397-08002B2CF9AE}" pid="3" name="MSIP_Label_37fac670-6c08-454c-9763-546258b8d606_ActionId">
    <vt:lpwstr>bbf193a1-2cb9-4764-8608-2b238076a03e</vt:lpwstr>
  </property>
  <property fmtid="{D5CDD505-2E9C-101B-9397-08002B2CF9AE}" pid="4" name="MSIP_Label_37fac670-6c08-454c-9763-546258b8d606_Enabled">
    <vt:lpwstr>True</vt:lpwstr>
  </property>
  <property fmtid="{D5CDD505-2E9C-101B-9397-08002B2CF9AE}" pid="5" name="MSIP_Label_37fac670-6c08-454c-9763-546258b8d606_Extended_MSFT_Method">
    <vt:lpwstr>Standard</vt:lpwstr>
  </property>
  <property fmtid="{D5CDD505-2E9C-101B-9397-08002B2CF9AE}" pid="6" name="MSIP_Label_37fac670-6c08-454c-9763-546258b8d606_Name">
    <vt:lpwstr>Confidential</vt:lpwstr>
  </property>
  <property fmtid="{D5CDD505-2E9C-101B-9397-08002B2CF9AE}" pid="7" name="MSIP_Label_37fac670-6c08-454c-9763-546258b8d606_SetDate">
    <vt:lpwstr>2026-06-19T08:34:38Z</vt:lpwstr>
  </property>
  <property fmtid="{D5CDD505-2E9C-101B-9397-08002B2CF9AE}" pid="8" name="MSIP_Label_37fac670-6c08-454c-9763-546258b8d606_SiteId">
    <vt:lpwstr>254ba93e-1f6f-48f3-90e6-e2766664b477</vt:lpwstr>
  </property>
  <property fmtid="{D5CDD505-2E9C-101B-9397-08002B2CF9AE}" pid="9" name="MSIP_Label_59844090-d756-4ce6-b8ef-4e0e3f430d0e_ActionId">
    <vt:lpwstr>07af9d21-4d49-4a5b-8261-3116d9ada92e</vt:lpwstr>
  </property>
  <property fmtid="{D5CDD505-2E9C-101B-9397-08002B2CF9AE}" pid="10" name="MSIP_Label_59844090-d756-4ce6-b8ef-4e0e3f430d0e_Enabled">
    <vt:lpwstr>True</vt:lpwstr>
  </property>
  <property fmtid="{D5CDD505-2E9C-101B-9397-08002B2CF9AE}" pid="11" name="MSIP_Label_59844090-d756-4ce6-b8ef-4e0e3f430d0e_Extended_MSFT_Method">
    <vt:lpwstr>Standard</vt:lpwstr>
  </property>
  <property fmtid="{D5CDD505-2E9C-101B-9397-08002B2CF9AE}" pid="12" name="MSIP_Label_59844090-d756-4ce6-b8ef-4e0e3f430d0e_Name">
    <vt:lpwstr>Confidential \ Confidential Unencrypted</vt:lpwstr>
  </property>
  <property fmtid="{D5CDD505-2E9C-101B-9397-08002B2CF9AE}" pid="13" name="MSIP_Label_59844090-d756-4ce6-b8ef-4e0e3f430d0e_Parent">
    <vt:lpwstr>37fac670-6c08-454c-9763-546258b8d606</vt:lpwstr>
  </property>
  <property fmtid="{D5CDD505-2E9C-101B-9397-08002B2CF9AE}" pid="14" name="MSIP_Label_59844090-d756-4ce6-b8ef-4e0e3f430d0e_Removed">
    <vt:lpwstr>False</vt:lpwstr>
  </property>
  <property fmtid="{D5CDD505-2E9C-101B-9397-08002B2CF9AE}" pid="15" name="MSIP_Label_59844090-d756-4ce6-b8ef-4e0e3f430d0e_SetDate">
    <vt:lpwstr>2026-06-19T08:34:38Z</vt:lpwstr>
  </property>
  <property fmtid="{D5CDD505-2E9C-101B-9397-08002B2CF9AE}" pid="16" name="MSIP_Label_59844090-d756-4ce6-b8ef-4e0e3f430d0e_SiteId">
    <vt:lpwstr>254ba93e-1f6f-48f3-90e6-e2766664b477</vt:lpwstr>
  </property>
  <property fmtid="{D5CDD505-2E9C-101B-9397-08002B2CF9AE}" pid="17" name="MediaServiceImageTags">
    <vt:lpwstr/>
  </property>
  <property fmtid="{D5CDD505-2E9C-101B-9397-08002B2CF9AE}" pid="18" name="Sensitivity">
    <vt:lpwstr>Confidential \ Confidential Unencrypted Confidential</vt:lpwstr>
  </property>
</Properties>
</file>