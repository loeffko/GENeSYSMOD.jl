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0057UHE\Documents\GitHub_Repos\GENeSYSMOD.jl\Scripts\templates\"/>
    </mc:Choice>
  </mc:AlternateContent>
  <xr:revisionPtr revIDLastSave="0" documentId="13_ncr:1_{D92840FF-37E0-4A93-AEFF-9323704814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tal EU" sheetId="8" r:id="rId1"/>
    <sheet name="Germany" sheetId="1" r:id="rId2"/>
    <sheet name="Italy" sheetId="2" r:id="rId3"/>
    <sheet name="Spain" sheetId="3" r:id="rId4"/>
    <sheet name="France" sheetId="4" r:id="rId5"/>
    <sheet name="Poland" sheetId="5" r:id="rId6"/>
    <sheet name="United Kingdom" sheetId="6" r:id="rId7"/>
    <sheet name="Other EU" sheetId="7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8" l="1"/>
  <c r="G14" i="8" s="1"/>
  <c r="E13" i="8"/>
  <c r="G13" i="8" s="1"/>
  <c r="E12" i="8"/>
  <c r="G12" i="8" s="1"/>
  <c r="E11" i="8"/>
  <c r="G11" i="8" s="1"/>
  <c r="E10" i="8"/>
  <c r="G10" i="8" s="1"/>
  <c r="E9" i="8"/>
  <c r="G9" i="8" s="1"/>
  <c r="E8" i="8"/>
  <c r="E7" i="8"/>
  <c r="G7" i="8" s="1"/>
  <c r="E6" i="8"/>
  <c r="G6" i="8" s="1"/>
  <c r="E5" i="8"/>
  <c r="E3" i="8"/>
  <c r="G3" i="8" s="1"/>
  <c r="E2" i="8"/>
  <c r="G2" i="8" s="1"/>
</calcChain>
</file>

<file path=xl/sharedStrings.xml><?xml version="1.0" encoding="utf-8"?>
<sst xmlns="http://schemas.openxmlformats.org/spreadsheetml/2006/main" count="113" uniqueCount="15">
  <si>
    <t>Category</t>
  </si>
  <si>
    <t>Coal</t>
  </si>
  <si>
    <t>Gas</t>
  </si>
  <si>
    <t>Gas CCS</t>
  </si>
  <si>
    <t>Other</t>
  </si>
  <si>
    <t>Nuclear</t>
  </si>
  <si>
    <t>Hydro</t>
  </si>
  <si>
    <t>Biomass</t>
  </si>
  <si>
    <t>Solar</t>
  </si>
  <si>
    <t>Wind Onshore</t>
  </si>
  <si>
    <t>Wind Offshore</t>
  </si>
  <si>
    <t>BESS</t>
  </si>
  <si>
    <t>LDES</t>
  </si>
  <si>
    <t>PHES</t>
  </si>
  <si>
    <t>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</si>
</sst>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\-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6A68-D131-428D-8789-80C5D2AD57FB}">
  <dimension ref="A1:G14"/>
  <sheetViews>
    <sheetView tabSelected="1" workbookViewId="0">
      <selection activeCell="H17" sqref="H17"/>
    </sheetView>
  </sheetViews>
  <sheetFormatPr defaultRowHeight="15" x14ac:dyDescent="0.25"/>
  <cols>
    <col min="1" max="1" width="16" customWidth="1"/>
    <col min="2" max="4" width="12" customWidth="1"/>
  </cols>
  <sheetData>
    <row r="1" spans="1:7" x14ac:dyDescent="0.25">
      <c r="A1" s="1" t="s">
        <v>0</v>
      </c>
      <c r="B1" s="2">
        <v>2026</v>
      </c>
      <c r="C1" s="2">
        <v>2030</v>
      </c>
      <c r="D1" s="2">
        <v>2040</v>
      </c>
      <c r="G1" t="s">
        <v>14</v>
      </c>
    </row>
    <row r="2" spans="1:7" x14ac:dyDescent="0.25">
      <c r="A2" s="3" t="s">
        <v>1</v>
      </c>
      <c r="B2" s="4">
        <v>80603.553</v>
      </c>
      <c r="C2" s="4">
        <v>44294.016000000003</v>
      </c>
      <c r="D2" s="4">
        <v>0</v>
      </c>
      <c r="E2" s="5">
        <f>D2</f>
        <v>0</v>
      </c>
      <c r="G2" s="6">
        <f>(E2/B2)^(1/(40-26))-1</f>
        <v>-1</v>
      </c>
    </row>
    <row r="3" spans="1:7" x14ac:dyDescent="0.25">
      <c r="A3" s="3" t="s">
        <v>2</v>
      </c>
      <c r="B3" s="4">
        <v>88399.172000000006</v>
      </c>
      <c r="C3" s="4">
        <v>86846.006999999998</v>
      </c>
      <c r="D3" s="4">
        <v>115934.24400000001</v>
      </c>
      <c r="E3" s="5">
        <f>D3+D4</f>
        <v>115934.24400000001</v>
      </c>
      <c r="G3" s="6">
        <f>(E3/B3)^(1/(40-26))-1</f>
        <v>1.955740025034669E-2</v>
      </c>
    </row>
    <row r="4" spans="1:7" x14ac:dyDescent="0.25">
      <c r="A4" s="3" t="s">
        <v>3</v>
      </c>
      <c r="B4" s="4">
        <v>0</v>
      </c>
      <c r="C4" s="4">
        <v>0</v>
      </c>
      <c r="D4" s="4">
        <v>0</v>
      </c>
    </row>
    <row r="5" spans="1:7" x14ac:dyDescent="0.25">
      <c r="A5" s="3" t="s">
        <v>4</v>
      </c>
      <c r="B5" s="4">
        <v>47334.292000000001</v>
      </c>
      <c r="C5" s="4">
        <v>43528.508999999998</v>
      </c>
      <c r="D5" s="4">
        <v>36813.366999999998</v>
      </c>
      <c r="E5" s="5">
        <f>D5</f>
        <v>36813.366999999998</v>
      </c>
      <c r="G5" s="6"/>
    </row>
    <row r="6" spans="1:7" x14ac:dyDescent="0.25">
      <c r="A6" s="3" t="s">
        <v>5</v>
      </c>
      <c r="B6" s="4">
        <v>0</v>
      </c>
      <c r="C6" s="4">
        <v>0</v>
      </c>
      <c r="D6" s="4">
        <v>0</v>
      </c>
      <c r="E6" s="5">
        <f t="shared" ref="E6:E14" si="0">D6</f>
        <v>0</v>
      </c>
      <c r="G6" s="6" t="e">
        <f t="shared" ref="G6:G14" si="1">(E6/B6)^(1/(40-26))-1</f>
        <v>#DIV/0!</v>
      </c>
    </row>
    <row r="7" spans="1:7" x14ac:dyDescent="0.25">
      <c r="A7" s="3" t="s">
        <v>6</v>
      </c>
      <c r="B7" s="4">
        <v>23553.957999999999</v>
      </c>
      <c r="C7" s="4">
        <v>23921.381000000001</v>
      </c>
      <c r="D7" s="4">
        <v>24903.002</v>
      </c>
      <c r="E7" s="5">
        <f t="shared" si="0"/>
        <v>24903.002</v>
      </c>
      <c r="G7" s="6">
        <f t="shared" si="1"/>
        <v>3.9861008921755481E-3</v>
      </c>
    </row>
    <row r="8" spans="1:7" x14ac:dyDescent="0.25">
      <c r="A8" s="3" t="s">
        <v>7</v>
      </c>
      <c r="B8" s="4">
        <v>51407.296999999999</v>
      </c>
      <c r="C8" s="4">
        <v>51049.120000000003</v>
      </c>
      <c r="D8" s="4">
        <v>62856.089</v>
      </c>
      <c r="E8" s="5">
        <f t="shared" si="0"/>
        <v>62856.089</v>
      </c>
      <c r="G8" s="6"/>
    </row>
    <row r="9" spans="1:7" x14ac:dyDescent="0.25">
      <c r="A9" s="3" t="s">
        <v>8</v>
      </c>
      <c r="B9" s="4">
        <v>110345.338</v>
      </c>
      <c r="C9" s="4">
        <v>147750.32399999999</v>
      </c>
      <c r="D9" s="4">
        <v>205468.78</v>
      </c>
      <c r="E9" s="5">
        <f t="shared" si="0"/>
        <v>205468.78</v>
      </c>
      <c r="G9" s="6">
        <f t="shared" si="1"/>
        <v>4.5406346619114135E-2</v>
      </c>
    </row>
    <row r="10" spans="1:7" x14ac:dyDescent="0.25">
      <c r="A10" s="3" t="s">
        <v>9</v>
      </c>
      <c r="B10" s="4">
        <v>144070.49299999999</v>
      </c>
      <c r="C10" s="4">
        <v>209344.09</v>
      </c>
      <c r="D10" s="4">
        <v>249409.98199999999</v>
      </c>
      <c r="E10" s="5">
        <f t="shared" si="0"/>
        <v>249409.98199999999</v>
      </c>
      <c r="G10" s="6">
        <f t="shared" si="1"/>
        <v>3.9978112527126131E-2</v>
      </c>
    </row>
    <row r="11" spans="1:7" x14ac:dyDescent="0.25">
      <c r="A11" s="3" t="s">
        <v>10</v>
      </c>
      <c r="B11" s="4">
        <v>43127.875999999997</v>
      </c>
      <c r="C11" s="4">
        <v>58703.495999999999</v>
      </c>
      <c r="D11" s="4">
        <v>124146.057</v>
      </c>
      <c r="E11" s="5">
        <f t="shared" si="0"/>
        <v>124146.057</v>
      </c>
      <c r="G11" s="6">
        <f t="shared" si="1"/>
        <v>7.8445504204885053E-2</v>
      </c>
    </row>
    <row r="12" spans="1:7" x14ac:dyDescent="0.25">
      <c r="A12" s="3" t="s">
        <v>11</v>
      </c>
      <c r="B12" s="4">
        <v>3835.5810000000001</v>
      </c>
      <c r="C12" s="4">
        <v>15181.655000000001</v>
      </c>
      <c r="D12" s="4">
        <v>37480.635999999999</v>
      </c>
      <c r="E12" s="5">
        <f t="shared" si="0"/>
        <v>37480.635999999999</v>
      </c>
      <c r="G12" s="6">
        <f t="shared" si="1"/>
        <v>0.17682681783865095</v>
      </c>
    </row>
    <row r="13" spans="1:7" x14ac:dyDescent="0.25">
      <c r="A13" s="3" t="s">
        <v>12</v>
      </c>
      <c r="B13" s="4">
        <v>111.693</v>
      </c>
      <c r="C13" s="4">
        <v>853.55600000000004</v>
      </c>
      <c r="D13" s="4">
        <v>3335.806</v>
      </c>
      <c r="E13" s="5">
        <f t="shared" si="0"/>
        <v>3335.806</v>
      </c>
      <c r="G13" s="6">
        <f t="shared" si="1"/>
        <v>0.27458742863544949</v>
      </c>
    </row>
    <row r="14" spans="1:7" x14ac:dyDescent="0.25">
      <c r="A14" s="3" t="s">
        <v>13</v>
      </c>
      <c r="B14" s="4">
        <v>7467.3580000000002</v>
      </c>
      <c r="C14" s="4">
        <v>6524.7259999999997</v>
      </c>
      <c r="D14" s="4">
        <v>5960.9219999999996</v>
      </c>
      <c r="E14" s="5">
        <f t="shared" si="0"/>
        <v>5960.9219999999996</v>
      </c>
      <c r="G14" s="6">
        <f t="shared" si="1"/>
        <v>-1.5965189756970144E-2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B2" sqref="B2:D14"/>
    </sheetView>
  </sheetViews>
  <sheetFormatPr defaultRowHeight="15" x14ac:dyDescent="0.25"/>
  <sheetData>
    <row r="1" spans="1:4" x14ac:dyDescent="0.25">
      <c r="A1" t="s">
        <v>0</v>
      </c>
      <c r="B1">
        <v>2026</v>
      </c>
      <c r="C1">
        <v>2030</v>
      </c>
      <c r="D1">
        <v>2040</v>
      </c>
    </row>
    <row r="2" spans="1:4" x14ac:dyDescent="0.25">
      <c r="A2" t="s">
        <v>1</v>
      </c>
      <c r="B2">
        <v>80603.553</v>
      </c>
      <c r="C2">
        <v>44294.016000000003</v>
      </c>
      <c r="D2">
        <v>0</v>
      </c>
    </row>
    <row r="3" spans="1:4" x14ac:dyDescent="0.25">
      <c r="A3" t="s">
        <v>2</v>
      </c>
      <c r="B3">
        <v>88399.172000000006</v>
      </c>
      <c r="C3">
        <v>86846.006999999998</v>
      </c>
      <c r="D3">
        <v>115934.24400000001</v>
      </c>
    </row>
    <row r="4" spans="1:4" x14ac:dyDescent="0.25">
      <c r="A4" t="s">
        <v>3</v>
      </c>
      <c r="B4">
        <v>0</v>
      </c>
      <c r="C4">
        <v>0</v>
      </c>
      <c r="D4">
        <v>0</v>
      </c>
    </row>
    <row r="5" spans="1:4" x14ac:dyDescent="0.25">
      <c r="A5" t="s">
        <v>4</v>
      </c>
      <c r="B5">
        <v>47334.292000000001</v>
      </c>
      <c r="C5">
        <v>43528.508999999998</v>
      </c>
      <c r="D5">
        <v>36813.366999999998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23553.957999999999</v>
      </c>
      <c r="C7">
        <v>23921.381000000001</v>
      </c>
      <c r="D7">
        <v>24903.002</v>
      </c>
    </row>
    <row r="8" spans="1:4" x14ac:dyDescent="0.25">
      <c r="A8" t="s">
        <v>7</v>
      </c>
      <c r="B8">
        <v>51407.296999999999</v>
      </c>
      <c r="C8">
        <v>51049.120000000003</v>
      </c>
      <c r="D8">
        <v>62856.089</v>
      </c>
    </row>
    <row r="9" spans="1:4" x14ac:dyDescent="0.25">
      <c r="A9" t="s">
        <v>8</v>
      </c>
      <c r="B9">
        <v>110345.338</v>
      </c>
      <c r="C9">
        <v>147750.32399999999</v>
      </c>
      <c r="D9">
        <v>205468.78</v>
      </c>
    </row>
    <row r="10" spans="1:4" x14ac:dyDescent="0.25">
      <c r="A10" t="s">
        <v>9</v>
      </c>
      <c r="B10">
        <v>144070.49299999999</v>
      </c>
      <c r="C10">
        <v>209344.09</v>
      </c>
      <c r="D10">
        <v>249409.98199999999</v>
      </c>
    </row>
    <row r="11" spans="1:4" x14ac:dyDescent="0.25">
      <c r="A11" t="s">
        <v>10</v>
      </c>
      <c r="B11">
        <v>43127.875999999997</v>
      </c>
      <c r="C11">
        <v>58703.495999999999</v>
      </c>
      <c r="D11">
        <v>124146.057</v>
      </c>
    </row>
    <row r="12" spans="1:4" x14ac:dyDescent="0.25">
      <c r="A12" t="s">
        <v>11</v>
      </c>
      <c r="B12">
        <v>3835.5810000000001</v>
      </c>
      <c r="C12">
        <v>15181.655000000001</v>
      </c>
      <c r="D12">
        <v>37480.635999999999</v>
      </c>
    </row>
    <row r="13" spans="1:4" x14ac:dyDescent="0.25">
      <c r="A13" t="s">
        <v>12</v>
      </c>
      <c r="B13">
        <v>111.693</v>
      </c>
      <c r="C13">
        <v>853.55600000000004</v>
      </c>
      <c r="D13">
        <v>3335.806</v>
      </c>
    </row>
    <row r="14" spans="1:4" x14ac:dyDescent="0.25">
      <c r="A14" t="s">
        <v>13</v>
      </c>
      <c r="B14">
        <v>7467.3580000000002</v>
      </c>
      <c r="C14">
        <v>6524.7259999999997</v>
      </c>
      <c r="D14">
        <v>5960.9219999999996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5" x14ac:dyDescent="0.25"/>
  <sheetData>
    <row r="1" spans="1:4" x14ac:dyDescent="0.25">
      <c r="A1" t="s">
        <v>0</v>
      </c>
      <c r="B1">
        <v>2026</v>
      </c>
      <c r="C1">
        <v>2030</v>
      </c>
      <c r="D1">
        <v>2040</v>
      </c>
    </row>
    <row r="2" spans="1:4" x14ac:dyDescent="0.25">
      <c r="A2" t="s">
        <v>1</v>
      </c>
      <c r="B2">
        <v>4834.9740000000002</v>
      </c>
      <c r="C2">
        <v>3264.223</v>
      </c>
      <c r="D2">
        <v>0</v>
      </c>
    </row>
    <row r="3" spans="1:4" x14ac:dyDescent="0.25">
      <c r="A3" t="s">
        <v>2</v>
      </c>
      <c r="B3">
        <v>104983.717</v>
      </c>
      <c r="C3">
        <v>89338.710999999996</v>
      </c>
      <c r="D3">
        <v>93144.910999999993</v>
      </c>
    </row>
    <row r="4" spans="1:4" x14ac:dyDescent="0.25">
      <c r="A4" t="s">
        <v>3</v>
      </c>
      <c r="B4">
        <v>0</v>
      </c>
      <c r="C4">
        <v>0</v>
      </c>
      <c r="D4">
        <v>0</v>
      </c>
    </row>
    <row r="5" spans="1:4" x14ac:dyDescent="0.25">
      <c r="A5" t="s">
        <v>4</v>
      </c>
      <c r="B5">
        <v>9904.6270000000004</v>
      </c>
      <c r="C5">
        <v>9354.4509999999991</v>
      </c>
      <c r="D5">
        <v>9419.5010000000002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49048.601000000002</v>
      </c>
      <c r="C7">
        <v>49765.853000000003</v>
      </c>
      <c r="D7">
        <v>51425.826000000001</v>
      </c>
    </row>
    <row r="8" spans="1:4" x14ac:dyDescent="0.25">
      <c r="A8" t="s">
        <v>7</v>
      </c>
      <c r="B8">
        <v>20240.983</v>
      </c>
      <c r="C8">
        <v>20229.816999999999</v>
      </c>
      <c r="D8">
        <v>21057.444</v>
      </c>
    </row>
    <row r="9" spans="1:4" x14ac:dyDescent="0.25">
      <c r="A9" t="s">
        <v>8</v>
      </c>
      <c r="B9">
        <v>55158.493999999999</v>
      </c>
      <c r="C9">
        <v>80355.259000000005</v>
      </c>
      <c r="D9">
        <v>139191.378</v>
      </c>
    </row>
    <row r="10" spans="1:4" x14ac:dyDescent="0.25">
      <c r="A10" t="s">
        <v>9</v>
      </c>
      <c r="B10">
        <v>24430.489000000001</v>
      </c>
      <c r="C10">
        <v>30387.844000000001</v>
      </c>
      <c r="D10">
        <v>55052.571000000004</v>
      </c>
    </row>
    <row r="11" spans="1:4" x14ac:dyDescent="0.25">
      <c r="A11" t="s">
        <v>10</v>
      </c>
      <c r="B11">
        <v>61.89</v>
      </c>
      <c r="C11">
        <v>61.552</v>
      </c>
      <c r="D11">
        <v>4658.5780000000004</v>
      </c>
    </row>
    <row r="12" spans="1:4" x14ac:dyDescent="0.25">
      <c r="A12" t="s">
        <v>11</v>
      </c>
      <c r="B12">
        <v>2345.8609999999999</v>
      </c>
      <c r="C12">
        <v>9382.6460000000006</v>
      </c>
      <c r="D12">
        <v>21306.142</v>
      </c>
    </row>
    <row r="13" spans="1:4" x14ac:dyDescent="0.25">
      <c r="A13" t="s">
        <v>12</v>
      </c>
      <c r="B13">
        <v>243.34299999999999</v>
      </c>
      <c r="C13">
        <v>1864.7149999999999</v>
      </c>
      <c r="D13">
        <v>8393.7360000000008</v>
      </c>
    </row>
    <row r="14" spans="1:4" x14ac:dyDescent="0.25">
      <c r="A14" t="s">
        <v>13</v>
      </c>
      <c r="B14">
        <v>2437.6460000000002</v>
      </c>
      <c r="C14">
        <v>2442.1060000000002</v>
      </c>
      <c r="D14">
        <v>2750.3359999999998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RowHeight="15" x14ac:dyDescent="0.25"/>
  <sheetData>
    <row r="1" spans="1:4" x14ac:dyDescent="0.25">
      <c r="A1" t="s">
        <v>0</v>
      </c>
      <c r="B1">
        <v>2026</v>
      </c>
      <c r="C1">
        <v>2030</v>
      </c>
      <c r="D1">
        <v>2040</v>
      </c>
    </row>
    <row r="2" spans="1:4" x14ac:dyDescent="0.25">
      <c r="A2" t="s">
        <v>1</v>
      </c>
      <c r="B2">
        <v>329.73399999999998</v>
      </c>
      <c r="C2">
        <v>0</v>
      </c>
      <c r="D2">
        <v>0</v>
      </c>
    </row>
    <row r="3" spans="1:4" x14ac:dyDescent="0.25">
      <c r="A3" t="s">
        <v>2</v>
      </c>
      <c r="B3">
        <v>50065.832000000002</v>
      </c>
      <c r="C3">
        <v>48348.523000000001</v>
      </c>
      <c r="D3">
        <v>62535.716</v>
      </c>
    </row>
    <row r="4" spans="1:4" x14ac:dyDescent="0.25">
      <c r="A4" t="s">
        <v>3</v>
      </c>
      <c r="B4">
        <v>0</v>
      </c>
      <c r="C4">
        <v>0</v>
      </c>
      <c r="D4">
        <v>0</v>
      </c>
    </row>
    <row r="5" spans="1:4" x14ac:dyDescent="0.25">
      <c r="A5" t="s">
        <v>4</v>
      </c>
      <c r="B5">
        <v>3304.2060000000001</v>
      </c>
      <c r="C5">
        <v>3322.3180000000002</v>
      </c>
      <c r="D5">
        <v>3257.395</v>
      </c>
    </row>
    <row r="6" spans="1:4" x14ac:dyDescent="0.25">
      <c r="A6" t="s">
        <v>5</v>
      </c>
      <c r="B6">
        <v>57719.302000000003</v>
      </c>
      <c r="C6">
        <v>24723.439999999999</v>
      </c>
      <c r="D6">
        <v>24723.439999999999</v>
      </c>
    </row>
    <row r="7" spans="1:4" x14ac:dyDescent="0.25">
      <c r="A7" t="s">
        <v>6</v>
      </c>
      <c r="B7">
        <v>29744.455999999998</v>
      </c>
      <c r="C7">
        <v>29746.144</v>
      </c>
      <c r="D7">
        <v>29746.144</v>
      </c>
    </row>
    <row r="8" spans="1:4" x14ac:dyDescent="0.25">
      <c r="A8" t="s">
        <v>7</v>
      </c>
      <c r="B8">
        <v>5132.6679999999997</v>
      </c>
      <c r="C8">
        <v>5132.7969999999996</v>
      </c>
      <c r="D8">
        <v>5132.982</v>
      </c>
    </row>
    <row r="9" spans="1:4" x14ac:dyDescent="0.25">
      <c r="A9" t="s">
        <v>8</v>
      </c>
      <c r="B9">
        <v>63198.036</v>
      </c>
      <c r="C9">
        <v>86921.679000000004</v>
      </c>
      <c r="D9">
        <v>132705.89499999999</v>
      </c>
    </row>
    <row r="10" spans="1:4" x14ac:dyDescent="0.25">
      <c r="A10" t="s">
        <v>9</v>
      </c>
      <c r="B10">
        <v>70879.114000000001</v>
      </c>
      <c r="C10">
        <v>87826.22</v>
      </c>
      <c r="D10">
        <v>120020.01300000001</v>
      </c>
    </row>
    <row r="11" spans="1:4" x14ac:dyDescent="0.25">
      <c r="A11" t="s">
        <v>10</v>
      </c>
      <c r="B11">
        <v>0</v>
      </c>
      <c r="C11">
        <v>0</v>
      </c>
      <c r="D11">
        <v>11021.876</v>
      </c>
    </row>
    <row r="12" spans="1:4" x14ac:dyDescent="0.25">
      <c r="A12" t="s">
        <v>11</v>
      </c>
      <c r="B12">
        <v>990.72</v>
      </c>
      <c r="C12">
        <v>6659.7439999999997</v>
      </c>
      <c r="D12">
        <v>25651.183000000001</v>
      </c>
    </row>
    <row r="13" spans="1:4" x14ac:dyDescent="0.25">
      <c r="A13" t="s">
        <v>12</v>
      </c>
      <c r="B13">
        <v>135.37899999999999</v>
      </c>
      <c r="C13">
        <v>1021.123</v>
      </c>
      <c r="D13">
        <v>4802.9989999999998</v>
      </c>
    </row>
    <row r="14" spans="1:4" x14ac:dyDescent="0.25">
      <c r="A14" t="s">
        <v>13</v>
      </c>
      <c r="B14">
        <v>10154.83</v>
      </c>
      <c r="C14">
        <v>10225.656000000001</v>
      </c>
      <c r="D14">
        <v>8905.7119999999995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/>
  </sheetViews>
  <sheetFormatPr defaultRowHeight="15" x14ac:dyDescent="0.25"/>
  <sheetData>
    <row r="1" spans="1:4" x14ac:dyDescent="0.25">
      <c r="A1" t="s">
        <v>0</v>
      </c>
      <c r="B1">
        <v>2026</v>
      </c>
      <c r="C1">
        <v>2030</v>
      </c>
      <c r="D1">
        <v>2040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18764.669000000002</v>
      </c>
      <c r="C3">
        <v>16431.601999999999</v>
      </c>
      <c r="D3">
        <v>32046.562999999998</v>
      </c>
    </row>
    <row r="4" spans="1:4" x14ac:dyDescent="0.25">
      <c r="A4" t="s">
        <v>3</v>
      </c>
      <c r="B4">
        <v>0</v>
      </c>
      <c r="C4">
        <v>0</v>
      </c>
      <c r="D4">
        <v>0</v>
      </c>
    </row>
    <row r="5" spans="1:4" x14ac:dyDescent="0.25">
      <c r="A5" t="s">
        <v>4</v>
      </c>
      <c r="B5">
        <v>10162.204</v>
      </c>
      <c r="C5">
        <v>9857.3310000000001</v>
      </c>
      <c r="D5">
        <v>10866.848</v>
      </c>
    </row>
    <row r="6" spans="1:4" x14ac:dyDescent="0.25">
      <c r="A6" t="s">
        <v>5</v>
      </c>
      <c r="B6">
        <v>365668.717</v>
      </c>
      <c r="C6">
        <v>357100.15899999999</v>
      </c>
      <c r="D6">
        <v>358841.03700000001</v>
      </c>
    </row>
    <row r="7" spans="1:4" x14ac:dyDescent="0.25">
      <c r="A7" t="s">
        <v>6</v>
      </c>
      <c r="B7">
        <v>57236.112000000001</v>
      </c>
      <c r="C7">
        <v>57410.239000000001</v>
      </c>
      <c r="D7">
        <v>57444.718999999997</v>
      </c>
    </row>
    <row r="8" spans="1:4" x14ac:dyDescent="0.25">
      <c r="A8" t="s">
        <v>7</v>
      </c>
      <c r="B8">
        <v>5135.3190000000004</v>
      </c>
      <c r="C8">
        <v>5077.1450000000004</v>
      </c>
      <c r="D8">
        <v>5106.0519999999997</v>
      </c>
    </row>
    <row r="9" spans="1:4" x14ac:dyDescent="0.25">
      <c r="A9" t="s">
        <v>8</v>
      </c>
      <c r="B9">
        <v>43788.934999999998</v>
      </c>
      <c r="C9">
        <v>55488.232000000004</v>
      </c>
      <c r="D9">
        <v>112153.967</v>
      </c>
    </row>
    <row r="10" spans="1:4" x14ac:dyDescent="0.25">
      <c r="A10" t="s">
        <v>9</v>
      </c>
      <c r="B10">
        <v>46722.898000000001</v>
      </c>
      <c r="C10">
        <v>51970.964999999997</v>
      </c>
      <c r="D10">
        <v>71124.471000000005</v>
      </c>
    </row>
    <row r="11" spans="1:4" x14ac:dyDescent="0.25">
      <c r="A11" t="s">
        <v>10</v>
      </c>
      <c r="B11">
        <v>5830.5940000000001</v>
      </c>
      <c r="C11">
        <v>8554.0020000000004</v>
      </c>
      <c r="D11">
        <v>27744.692999999999</v>
      </c>
    </row>
    <row r="12" spans="1:4" x14ac:dyDescent="0.25">
      <c r="A12" t="s">
        <v>11</v>
      </c>
      <c r="B12">
        <v>315.71300000000002</v>
      </c>
      <c r="C12">
        <v>3666.1010000000001</v>
      </c>
      <c r="D12">
        <v>27043.530999999999</v>
      </c>
    </row>
    <row r="13" spans="1:4" x14ac:dyDescent="0.25">
      <c r="A13" t="s">
        <v>12</v>
      </c>
      <c r="B13">
        <v>25.754000000000001</v>
      </c>
      <c r="C13">
        <v>261.98599999999999</v>
      </c>
      <c r="D13">
        <v>1546.375</v>
      </c>
    </row>
    <row r="14" spans="1:4" x14ac:dyDescent="0.25">
      <c r="A14" t="s">
        <v>13</v>
      </c>
      <c r="B14">
        <v>5264.7569999999996</v>
      </c>
      <c r="C14">
        <v>5007.5510000000004</v>
      </c>
      <c r="D14">
        <v>4744.768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/>
  </sheetViews>
  <sheetFormatPr defaultRowHeight="15" x14ac:dyDescent="0.25"/>
  <sheetData>
    <row r="1" spans="1:4" x14ac:dyDescent="0.25">
      <c r="A1" t="s">
        <v>0</v>
      </c>
      <c r="B1">
        <v>2026</v>
      </c>
      <c r="C1">
        <v>2030</v>
      </c>
      <c r="D1">
        <v>2040</v>
      </c>
    </row>
    <row r="2" spans="1:4" x14ac:dyDescent="0.25">
      <c r="A2" t="s">
        <v>1</v>
      </c>
      <c r="B2">
        <v>57912.482000000004</v>
      </c>
      <c r="C2">
        <v>33931.709000000003</v>
      </c>
      <c r="D2">
        <v>8418.1200000000008</v>
      </c>
    </row>
    <row r="3" spans="1:4" x14ac:dyDescent="0.25">
      <c r="A3" t="s">
        <v>2</v>
      </c>
      <c r="B3">
        <v>26092.710999999999</v>
      </c>
      <c r="C3">
        <v>36756.942999999999</v>
      </c>
      <c r="D3">
        <v>52125.891000000003</v>
      </c>
    </row>
    <row r="4" spans="1:4" x14ac:dyDescent="0.25">
      <c r="A4" t="s">
        <v>3</v>
      </c>
      <c r="B4">
        <v>0</v>
      </c>
      <c r="C4">
        <v>0</v>
      </c>
      <c r="D4">
        <v>0</v>
      </c>
    </row>
    <row r="5" spans="1:4" x14ac:dyDescent="0.25">
      <c r="A5" t="s">
        <v>4</v>
      </c>
      <c r="B5">
        <v>10440.103999999999</v>
      </c>
      <c r="C5">
        <v>10158.469999999999</v>
      </c>
      <c r="D5">
        <v>9794.8220000000001</v>
      </c>
    </row>
    <row r="6" spans="1:4" x14ac:dyDescent="0.25">
      <c r="A6" t="s">
        <v>5</v>
      </c>
      <c r="B6">
        <v>0</v>
      </c>
      <c r="C6">
        <v>0</v>
      </c>
      <c r="D6">
        <v>20263.767</v>
      </c>
    </row>
    <row r="7" spans="1:4" x14ac:dyDescent="0.25">
      <c r="A7" t="s">
        <v>6</v>
      </c>
      <c r="B7">
        <v>2355.2539999999999</v>
      </c>
      <c r="C7">
        <v>2355.3009999999999</v>
      </c>
      <c r="D7">
        <v>2355.3490000000002</v>
      </c>
    </row>
    <row r="8" spans="1:4" x14ac:dyDescent="0.25">
      <c r="A8" t="s">
        <v>7</v>
      </c>
      <c r="B8">
        <v>7007.3919999999998</v>
      </c>
      <c r="C8">
        <v>9492.1939999999995</v>
      </c>
      <c r="D8">
        <v>15566.183999999999</v>
      </c>
    </row>
    <row r="9" spans="1:4" x14ac:dyDescent="0.25">
      <c r="A9" t="s">
        <v>8</v>
      </c>
      <c r="B9">
        <v>27290.934000000001</v>
      </c>
      <c r="C9">
        <v>37472.078000000001</v>
      </c>
      <c r="D9">
        <v>53737.124000000003</v>
      </c>
    </row>
    <row r="10" spans="1:4" x14ac:dyDescent="0.25">
      <c r="A10" t="s">
        <v>9</v>
      </c>
      <c r="B10">
        <v>28592.722000000002</v>
      </c>
      <c r="C10">
        <v>33116.813000000002</v>
      </c>
      <c r="D10">
        <v>41158.497000000003</v>
      </c>
    </row>
    <row r="11" spans="1:4" x14ac:dyDescent="0.25">
      <c r="A11" t="s">
        <v>10</v>
      </c>
      <c r="B11">
        <v>3764.22</v>
      </c>
      <c r="C11">
        <v>17171.697</v>
      </c>
      <c r="D11">
        <v>48865.101000000002</v>
      </c>
    </row>
    <row r="12" spans="1:4" x14ac:dyDescent="0.25">
      <c r="A12" t="s">
        <v>11</v>
      </c>
      <c r="B12">
        <v>227.67599999999999</v>
      </c>
      <c r="C12">
        <v>4574.5379999999996</v>
      </c>
      <c r="D12">
        <v>12592.13</v>
      </c>
    </row>
    <row r="13" spans="1:4" x14ac:dyDescent="0.25">
      <c r="A13" t="s">
        <v>12</v>
      </c>
      <c r="B13">
        <v>0</v>
      </c>
      <c r="C13">
        <v>49.215000000000003</v>
      </c>
      <c r="D13">
        <v>973.33100000000002</v>
      </c>
    </row>
    <row r="14" spans="1:4" x14ac:dyDescent="0.25">
      <c r="A14" t="s">
        <v>13</v>
      </c>
      <c r="B14">
        <v>1517.771</v>
      </c>
      <c r="C14">
        <v>1848.8820000000001</v>
      </c>
      <c r="D14">
        <v>1330.7170000000001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/>
  </sheetViews>
  <sheetFormatPr defaultRowHeight="15" x14ac:dyDescent="0.25"/>
  <sheetData>
    <row r="1" spans="1:4" x14ac:dyDescent="0.25">
      <c r="A1" t="s">
        <v>0</v>
      </c>
      <c r="B1">
        <v>2026</v>
      </c>
      <c r="C1">
        <v>2030</v>
      </c>
      <c r="D1">
        <v>2040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46684.574999999997</v>
      </c>
      <c r="C3">
        <v>30044.98</v>
      </c>
      <c r="D3">
        <v>53271.012999999999</v>
      </c>
    </row>
    <row r="4" spans="1:4" x14ac:dyDescent="0.25">
      <c r="A4" t="s">
        <v>3</v>
      </c>
      <c r="B4">
        <v>0</v>
      </c>
      <c r="C4">
        <v>0</v>
      </c>
      <c r="D4">
        <v>0</v>
      </c>
    </row>
    <row r="5" spans="1:4" x14ac:dyDescent="0.25">
      <c r="A5" t="s">
        <v>4</v>
      </c>
      <c r="B5">
        <v>2052.453</v>
      </c>
      <c r="C5">
        <v>1931.915</v>
      </c>
      <c r="D5">
        <v>4009.4490000000001</v>
      </c>
    </row>
    <row r="6" spans="1:4" x14ac:dyDescent="0.25">
      <c r="A6" t="s">
        <v>5</v>
      </c>
      <c r="B6">
        <v>39445.324999999997</v>
      </c>
      <c r="C6">
        <v>39319.324000000001</v>
      </c>
      <c r="D6">
        <v>60805.855000000003</v>
      </c>
    </row>
    <row r="7" spans="1:4" x14ac:dyDescent="0.25">
      <c r="A7" t="s">
        <v>6</v>
      </c>
      <c r="B7">
        <v>4115.4960000000001</v>
      </c>
      <c r="C7">
        <v>4119.7749999999996</v>
      </c>
      <c r="D7">
        <v>4116.8140000000003</v>
      </c>
    </row>
    <row r="8" spans="1:4" x14ac:dyDescent="0.25">
      <c r="A8" t="s">
        <v>7</v>
      </c>
      <c r="B8">
        <v>42227.925000000003</v>
      </c>
      <c r="C8">
        <v>36032.466</v>
      </c>
      <c r="D8">
        <v>23810.755000000001</v>
      </c>
    </row>
    <row r="9" spans="1:4" x14ac:dyDescent="0.25">
      <c r="A9" t="s">
        <v>8</v>
      </c>
      <c r="B9">
        <v>22178.681</v>
      </c>
      <c r="C9">
        <v>34605.002</v>
      </c>
      <c r="D9">
        <v>49988.451000000001</v>
      </c>
    </row>
    <row r="10" spans="1:4" x14ac:dyDescent="0.25">
      <c r="A10" t="s">
        <v>9</v>
      </c>
      <c r="B10">
        <v>44398.775000000001</v>
      </c>
      <c r="C10">
        <v>49836.644999999997</v>
      </c>
      <c r="D10">
        <v>49946.163</v>
      </c>
    </row>
    <row r="11" spans="1:4" x14ac:dyDescent="0.25">
      <c r="A11" t="s">
        <v>10</v>
      </c>
      <c r="B11">
        <v>76625.482999999993</v>
      </c>
      <c r="C11">
        <v>118721.519</v>
      </c>
      <c r="D11">
        <v>246377.834</v>
      </c>
    </row>
    <row r="12" spans="1:4" x14ac:dyDescent="0.25">
      <c r="A12" t="s">
        <v>11</v>
      </c>
      <c r="B12">
        <v>4031.21</v>
      </c>
      <c r="C12">
        <v>13999.933999999999</v>
      </c>
      <c r="D12">
        <v>20798.632000000001</v>
      </c>
    </row>
    <row r="13" spans="1:4" x14ac:dyDescent="0.25">
      <c r="A13" t="s">
        <v>12</v>
      </c>
      <c r="B13">
        <v>295.39400000000001</v>
      </c>
      <c r="C13">
        <v>1830.9770000000001</v>
      </c>
      <c r="D13">
        <v>6813.8620000000001</v>
      </c>
    </row>
    <row r="14" spans="1:4" x14ac:dyDescent="0.25">
      <c r="A14" t="s">
        <v>13</v>
      </c>
      <c r="B14">
        <v>2861.1379999999999</v>
      </c>
      <c r="C14">
        <v>1678.8820000000001</v>
      </c>
      <c r="D14">
        <v>4028.183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/>
  </sheetViews>
  <sheetFormatPr defaultRowHeight="15" x14ac:dyDescent="0.25"/>
  <sheetData>
    <row r="1" spans="1:4" x14ac:dyDescent="0.25">
      <c r="A1" t="s">
        <v>0</v>
      </c>
      <c r="B1">
        <v>2026</v>
      </c>
      <c r="C1">
        <v>2030</v>
      </c>
      <c r="D1">
        <v>2040</v>
      </c>
    </row>
    <row r="2" spans="1:4" x14ac:dyDescent="0.25">
      <c r="A2" t="s">
        <v>1</v>
      </c>
      <c r="B2">
        <v>43071.171000000002</v>
      </c>
      <c r="C2">
        <v>10857.897999999999</v>
      </c>
      <c r="D2">
        <v>642.74800000000005</v>
      </c>
    </row>
    <row r="3" spans="1:4" x14ac:dyDescent="0.25">
      <c r="A3" t="s">
        <v>2</v>
      </c>
      <c r="B3">
        <v>92713.346000000005</v>
      </c>
      <c r="C3">
        <v>197967.56200000001</v>
      </c>
      <c r="D3">
        <v>150107.546</v>
      </c>
    </row>
    <row r="4" spans="1:4" x14ac:dyDescent="0.25">
      <c r="A4" t="s">
        <v>3</v>
      </c>
      <c r="B4">
        <v>0</v>
      </c>
      <c r="C4">
        <v>0</v>
      </c>
      <c r="D4">
        <v>0</v>
      </c>
    </row>
    <row r="5" spans="1:4" x14ac:dyDescent="0.25">
      <c r="A5" t="s">
        <v>4</v>
      </c>
      <c r="B5">
        <v>32744.991999999998</v>
      </c>
      <c r="C5">
        <v>32721.759999999998</v>
      </c>
      <c r="D5">
        <v>31806.977999999999</v>
      </c>
    </row>
    <row r="6" spans="1:4" x14ac:dyDescent="0.25">
      <c r="A6" t="s">
        <v>5</v>
      </c>
      <c r="B6">
        <v>180387.32399999999</v>
      </c>
      <c r="C6">
        <v>188943.80499999999</v>
      </c>
      <c r="D6">
        <v>243806.30499999999</v>
      </c>
    </row>
    <row r="7" spans="1:4" x14ac:dyDescent="0.25">
      <c r="A7" t="s">
        <v>6</v>
      </c>
      <c r="B7">
        <v>175257.83900000001</v>
      </c>
      <c r="C7">
        <v>170540.41500000001</v>
      </c>
      <c r="D7">
        <v>165270.386</v>
      </c>
    </row>
    <row r="8" spans="1:4" x14ac:dyDescent="0.25">
      <c r="A8" t="s">
        <v>7</v>
      </c>
      <c r="B8">
        <v>54381.345000000001</v>
      </c>
      <c r="C8">
        <v>55350.078999999998</v>
      </c>
      <c r="D8">
        <v>63677.487000000001</v>
      </c>
    </row>
    <row r="9" spans="1:4" x14ac:dyDescent="0.25">
      <c r="A9" t="s">
        <v>8</v>
      </c>
      <c r="B9">
        <v>131772.891</v>
      </c>
      <c r="C9">
        <v>186130.57800000001</v>
      </c>
      <c r="D9">
        <v>283933.038</v>
      </c>
    </row>
    <row r="10" spans="1:4" x14ac:dyDescent="0.25">
      <c r="A10" t="s">
        <v>9</v>
      </c>
      <c r="B10">
        <v>184169.087</v>
      </c>
      <c r="C10">
        <v>212467.74299999999</v>
      </c>
      <c r="D10">
        <v>257452.43400000001</v>
      </c>
    </row>
    <row r="11" spans="1:4" x14ac:dyDescent="0.25">
      <c r="A11" t="s">
        <v>10</v>
      </c>
      <c r="B11">
        <v>40867.398999999998</v>
      </c>
      <c r="C11">
        <v>62348.161</v>
      </c>
      <c r="D11">
        <v>222823.446</v>
      </c>
    </row>
    <row r="12" spans="1:4" x14ac:dyDescent="0.25">
      <c r="A12" t="s">
        <v>11</v>
      </c>
      <c r="B12">
        <v>8570.3459999999995</v>
      </c>
      <c r="C12">
        <v>27573.468000000001</v>
      </c>
      <c r="D12">
        <v>55490.803999999996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4" x14ac:dyDescent="0.25">
      <c r="A14" t="s">
        <v>13</v>
      </c>
      <c r="B14">
        <v>11786.337</v>
      </c>
      <c r="C14">
        <v>10790.745000000001</v>
      </c>
      <c r="D14">
        <v>10087.44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ADAD4575580A45A32A311003C10D23" ma:contentTypeVersion="20" ma:contentTypeDescription="Create a new document." ma:contentTypeScope="" ma:versionID="c95172af52a8cb683b625f132fc527b9">
  <xsd:schema xmlns:xsd="http://www.w3.org/2001/XMLSchema" xmlns:xs="http://www.w3.org/2001/XMLSchema" xmlns:p="http://schemas.microsoft.com/office/2006/metadata/properties" xmlns:ns2="18eb8153-de22-41f9-a070-d3213110d4de" xmlns:ns3="0924a333-5de6-45ad-be92-5bfffb577cfe" targetNamespace="http://schemas.microsoft.com/office/2006/metadata/properties" ma:root="true" ma:fieldsID="b16558e861352359245934334057cbfa" ns2:_="" ns3:_="">
    <xsd:import namespace="18eb8153-de22-41f9-a070-d3213110d4de"/>
    <xsd:import namespace="0924a333-5de6-45ad-be92-5bfffb577c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Provider" minOccurs="0"/>
                <xsd:element ref="ns2:Module" minOccurs="0"/>
                <xsd:element ref="ns2:Email_x0020_address_x0020_of_x0020_the_x0020_user" minOccurs="0"/>
                <xsd:element ref="ns2:Owner_x0020_of_x0020_the_x0020_license_x0028_s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eb8153-de22-41f9-a070-d3213110d4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c99958-89fd-40bf-a91d-c8fefae10c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Provider" ma:index="24" nillable="true" ma:displayName="Provider" ma:format="Dropdown" ma:internalName="Provider">
      <xsd:simpleType>
        <xsd:restriction base="dms:Choice">
          <xsd:enumeration value="AlphaSense"/>
          <xsd:enumeration value="BNEF"/>
          <xsd:enumeration value="S&amp;P CapIQ"/>
        </xsd:restriction>
      </xsd:simpleType>
    </xsd:element>
    <xsd:element name="Module" ma:index="25" nillable="true" ma:displayName="Module" ma:internalName="Module">
      <xsd:simpleType>
        <xsd:restriction base="dms:Text"/>
      </xsd:simpleType>
    </xsd:element>
    <xsd:element name="Email_x0020_address_x0020_of_x0020_the_x0020_user" ma:index="26" nillable="true" ma:displayName="Email address of the user" ma:format="Dropdown" ma:internalName="Email_x0020_address_x0020_of_x0020_the_x0020_user">
      <xsd:simpleType>
        <xsd:restriction base="dms:Text">
          <xsd:maxLength value="255"/>
        </xsd:restriction>
      </xsd:simpleType>
    </xsd:element>
    <xsd:element name="Owner_x0020_of_x0020_the_x0020_license_x0028_s_x0029_" ma:index="27" nillable="true" ma:displayName="Owner of the license(s)" ma:format="Dropdown" ma:list="UserInfo" ma:SharePointGroup="0" ma:internalName="Owner_x0020_of_x0020_the_x0020_license_x0028_s_x0029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4a333-5de6-45ad-be92-5bfffb577c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4389379-6b59-4203-b744-5dd4337e0698}" ma:internalName="TaxCatchAll" ma:showField="CatchAllData" ma:web="0924a333-5de6-45ad-be92-5bfffb577c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vider xmlns="18eb8153-de22-41f9-a070-d3213110d4de" xsi:nil="true"/>
    <Owner_x0020_of_x0020_the_x0020_license_x0028_s_x0029_ xmlns="18eb8153-de22-41f9-a070-d3213110d4de">
      <UserInfo>
        <DisplayName/>
        <AccountId xsi:nil="true"/>
        <AccountType/>
      </UserInfo>
    </Owner_x0020_of_x0020_the_x0020_license_x0028_s_x0029_>
    <Module xmlns="18eb8153-de22-41f9-a070-d3213110d4de" xsi:nil="true"/>
    <Email_x0020_address_x0020_of_x0020_the_x0020_user xmlns="18eb8153-de22-41f9-a070-d3213110d4de" xsi:nil="true"/>
    <TaxCatchAll xmlns="0924a333-5de6-45ad-be92-5bfffb577cfe" xsi:nil="true"/>
    <lcf76f155ced4ddcb4097134ff3c332f xmlns="18eb8153-de22-41f9-a070-d3213110d4d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1892C1-D583-4F6E-8324-41D52BFAA0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eb8153-de22-41f9-a070-d3213110d4de"/>
    <ds:schemaRef ds:uri="0924a333-5de6-45ad-be92-5bfffb577c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C3E70A-7ADB-4FED-A891-76E93CE90A91}">
  <ds:schemaRefs>
    <ds:schemaRef ds:uri="http://schemas.microsoft.com/office/2006/metadata/properties"/>
    <ds:schemaRef ds:uri="http://schemas.microsoft.com/office/infopath/2007/PartnerControls"/>
    <ds:schemaRef ds:uri="18eb8153-de22-41f9-a070-d3213110d4de"/>
    <ds:schemaRef ds:uri="0924a333-5de6-45ad-be92-5bfffb577cfe"/>
  </ds:schemaRefs>
</ds:datastoreItem>
</file>

<file path=customXml/itemProps3.xml><?xml version="1.0" encoding="utf-8"?>
<ds:datastoreItem xmlns:ds="http://schemas.openxmlformats.org/officeDocument/2006/customXml" ds:itemID="{46F450DD-F4E4-4B73-A135-728A3871DC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 EU</vt:lpstr>
      <vt:lpstr>Germany</vt:lpstr>
      <vt:lpstr>Italy</vt:lpstr>
      <vt:lpstr>Spain</vt:lpstr>
      <vt:lpstr>France</vt:lpstr>
      <vt:lpstr>Poland</vt:lpstr>
      <vt:lpstr>United Kingdom</vt:lpstr>
      <vt:lpstr>Other 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Loeffler, Konstantin Emanuel</cp:lastModifiedBy>
  <dcterms:created xsi:type="dcterms:W3CDTF">2026-06-19T13:34:32Z</dcterms:created>
  <dcterms:modified xsi:type="dcterms:W3CDTF">2026-06-19T15:48:28Z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0x01010082ADAD4575580A45A32A311003C10D23</vt:lpwstr>
  </property>
  <property fmtid="{D5CDD505-2E9C-101B-9397-08002B2CF9AE}" pid="3" name="MSIP_Label_59844090-d756-4ce6-b8ef-4e0e3f430d0e_Enabled">
    <vt:lpwstr>True</vt:lpwstr>
  </property>
  <property fmtid="{D5CDD505-2E9C-101B-9397-08002B2CF9AE}" pid="4" name="MSIP_Label_59844090-d756-4ce6-b8ef-4e0e3f430d0e_SiteId">
    <vt:lpwstr>254ba93e-1f6f-48f3-90e6-e2766664b477</vt:lpwstr>
  </property>
  <property fmtid="{D5CDD505-2E9C-101B-9397-08002B2CF9AE}" pid="5" name="MSIP_Label_59844090-d756-4ce6-b8ef-4e0e3f430d0e_SetDate">
    <vt:lpwstr>2026-06-19T13:35:22Z</vt:lpwstr>
  </property>
  <property fmtid="{D5CDD505-2E9C-101B-9397-08002B2CF9AE}" pid="6" name="MSIP_Label_59844090-d756-4ce6-b8ef-4e0e3f430d0e_Name">
    <vt:lpwstr>Confidential \ Confidential Unencrypted</vt:lpwstr>
  </property>
  <property fmtid="{D5CDD505-2E9C-101B-9397-08002B2CF9AE}" pid="7" name="MSIP_Label_59844090-d756-4ce6-b8ef-4e0e3f430d0e_ActionId">
    <vt:lpwstr>aeb77888-bb5b-4338-8cfa-d3ef77393c4f</vt:lpwstr>
  </property>
  <property fmtid="{D5CDD505-2E9C-101B-9397-08002B2CF9AE}" pid="8" name="MSIP_Label_59844090-d756-4ce6-b8ef-4e0e3f430d0e_Removed">
    <vt:lpwstr>False</vt:lpwstr>
  </property>
  <property fmtid="{D5CDD505-2E9C-101B-9397-08002B2CF9AE}" pid="9" name="MSIP_Label_59844090-d756-4ce6-b8ef-4e0e3f430d0e_Parent">
    <vt:lpwstr>37fac670-6c08-454c-9763-546258b8d606</vt:lpwstr>
  </property>
  <property fmtid="{D5CDD505-2E9C-101B-9397-08002B2CF9AE}" pid="10" name="MSIP_Label_59844090-d756-4ce6-b8ef-4e0e3f430d0e_Extended_MSFT_Method">
    <vt:lpwstr>Standard</vt:lpwstr>
  </property>
  <property fmtid="{D5CDD505-2E9C-101B-9397-08002B2CF9AE}" pid="11" name="MSIP_Label_37fac670-6c08-454c-9763-546258b8d606_Enabled">
    <vt:lpwstr>True</vt:lpwstr>
  </property>
  <property fmtid="{D5CDD505-2E9C-101B-9397-08002B2CF9AE}" pid="12" name="MSIP_Label_37fac670-6c08-454c-9763-546258b8d606_SiteId">
    <vt:lpwstr>254ba93e-1f6f-48f3-90e6-e2766664b477</vt:lpwstr>
  </property>
  <property fmtid="{D5CDD505-2E9C-101B-9397-08002B2CF9AE}" pid="13" name="MSIP_Label_37fac670-6c08-454c-9763-546258b8d606_SetDate">
    <vt:lpwstr>2026-06-19T13:35:22Z</vt:lpwstr>
  </property>
  <property fmtid="{D5CDD505-2E9C-101B-9397-08002B2CF9AE}" pid="14" name="MSIP_Label_37fac670-6c08-454c-9763-546258b8d606_Name">
    <vt:lpwstr>Confidential</vt:lpwstr>
  </property>
  <property fmtid="{D5CDD505-2E9C-101B-9397-08002B2CF9AE}" pid="15" name="MSIP_Label_37fac670-6c08-454c-9763-546258b8d606_ActionId">
    <vt:lpwstr>f7d1237a-feab-4490-ad1e-9d91dfac1ae1</vt:lpwstr>
  </property>
  <property fmtid="{D5CDD505-2E9C-101B-9397-08002B2CF9AE}" pid="16" name="MSIP_Label_37fac670-6c08-454c-9763-546258b8d606_Extended_MSFT_Method">
    <vt:lpwstr>Standard</vt:lpwstr>
  </property>
  <property fmtid="{D5CDD505-2E9C-101B-9397-08002B2CF9AE}" pid="17" name="Sensitivity">
    <vt:lpwstr>Confidential \ Confidential Unencrypted Confidential</vt:lpwstr>
  </property>
  <property fmtid="{D5CDD505-2E9C-101B-9397-08002B2CF9AE}" pid="18" name="MediaServiceImageTags">
    <vt:lpwstr/>
  </property>
</Properties>
</file>