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konstantin_loeffler_siemens-energy_com/Documents/Desktop/BID3 Results/"/>
    </mc:Choice>
  </mc:AlternateContent>
  <xr:revisionPtr revIDLastSave="5" documentId="11_2D967A1922AEF9E872A372B4AEC4590CD2EF8606" xr6:coauthVersionLast="47" xr6:coauthVersionMax="47" xr10:uidLastSave="{F8340652-C51A-4C57-B0A5-13935D848626}"/>
  <bookViews>
    <workbookView xWindow="-108" yWindow="-108" windowWidth="23256" windowHeight="13896" firstSheet="1" activeTab="3" xr2:uid="{00000000-000D-0000-FFFF-FFFF00000000}"/>
  </bookViews>
  <sheets>
    <sheet name="Germany - Generation" sheetId="1" r:id="rId1"/>
    <sheet name="Germany - Capacity" sheetId="2" r:id="rId2"/>
    <sheet name="Italy - Generation" sheetId="3" r:id="rId3"/>
    <sheet name="Italy - Capacity" sheetId="4" r:id="rId4"/>
    <sheet name="Spain - Generation" sheetId="5" r:id="rId5"/>
    <sheet name="Spain - Capacity" sheetId="6" r:id="rId6"/>
    <sheet name="France - Generation" sheetId="7" r:id="rId7"/>
    <sheet name="France - Capacity" sheetId="8" r:id="rId8"/>
    <sheet name="Poland - Generation" sheetId="9" r:id="rId9"/>
    <sheet name="Poland - Capacity" sheetId="10" r:id="rId10"/>
    <sheet name="United Kingdom - Generation" sheetId="11" r:id="rId11"/>
    <sheet name="United Kingdom - Capacity" sheetId="12" r:id="rId12"/>
    <sheet name="Other EU - Generation" sheetId="13" r:id="rId13"/>
    <sheet name="Other EU - Capacity" sheetId="14" r:id="rId14"/>
    <sheet name="EU Total - Generation" sheetId="15" r:id="rId15"/>
    <sheet name="EU Total - Capacit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9" i="16" l="1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T19" i="15"/>
  <c r="R19" i="15"/>
  <c r="P19" i="15"/>
  <c r="N19" i="15"/>
  <c r="L19" i="15"/>
  <c r="J19" i="15"/>
  <c r="H19" i="15"/>
  <c r="F19" i="15"/>
  <c r="S18" i="15"/>
  <c r="Q18" i="15"/>
  <c r="O18" i="15"/>
  <c r="M18" i="15"/>
  <c r="K18" i="15"/>
  <c r="I18" i="15"/>
  <c r="G18" i="15"/>
  <c r="S17" i="15"/>
  <c r="Q17" i="15"/>
  <c r="O17" i="15"/>
  <c r="M17" i="15"/>
  <c r="K17" i="15"/>
  <c r="I17" i="15"/>
  <c r="G17" i="15"/>
  <c r="S16" i="15"/>
  <c r="Q16" i="15"/>
  <c r="O16" i="15"/>
  <c r="M16" i="15"/>
  <c r="K16" i="15"/>
  <c r="I16" i="15"/>
  <c r="G16" i="15"/>
  <c r="S15" i="15"/>
  <c r="Q15" i="15"/>
  <c r="O15" i="15"/>
  <c r="M15" i="15"/>
  <c r="K15" i="15"/>
  <c r="I15" i="15"/>
  <c r="G15" i="15"/>
  <c r="S13" i="15"/>
  <c r="Q13" i="15"/>
  <c r="O13" i="15"/>
  <c r="M13" i="15"/>
  <c r="K13" i="15"/>
  <c r="I13" i="15"/>
  <c r="G13" i="15"/>
  <c r="S12" i="15"/>
  <c r="Q12" i="15"/>
  <c r="S11" i="15"/>
  <c r="Q11" i="15"/>
  <c r="O11" i="15"/>
  <c r="M11" i="15"/>
  <c r="K11" i="15"/>
  <c r="I11" i="15"/>
  <c r="G11" i="15"/>
  <c r="S10" i="15"/>
  <c r="Q10" i="15"/>
  <c r="O10" i="15"/>
  <c r="M10" i="15"/>
  <c r="K10" i="15"/>
  <c r="I10" i="15"/>
  <c r="G10" i="15"/>
  <c r="S9" i="15"/>
  <c r="S19" i="15" s="1"/>
  <c r="Q9" i="15"/>
  <c r="Q19" i="15" s="1"/>
  <c r="O9" i="15"/>
  <c r="O19" i="15" s="1"/>
  <c r="M9" i="15"/>
  <c r="M19" i="15" s="1"/>
  <c r="K9" i="15"/>
  <c r="K19" i="15" s="1"/>
  <c r="I9" i="15"/>
  <c r="I19" i="15" s="1"/>
  <c r="G9" i="15"/>
  <c r="G19" i="15" s="1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T19" i="13"/>
  <c r="R19" i="13"/>
  <c r="P19" i="13"/>
  <c r="N19" i="13"/>
  <c r="L19" i="13"/>
  <c r="J19" i="13"/>
  <c r="H19" i="13"/>
  <c r="F19" i="13"/>
  <c r="S18" i="13"/>
  <c r="Q18" i="13"/>
  <c r="O18" i="13"/>
  <c r="M18" i="13"/>
  <c r="K18" i="13"/>
  <c r="I18" i="13"/>
  <c r="G18" i="13"/>
  <c r="S17" i="13"/>
  <c r="Q17" i="13"/>
  <c r="O17" i="13"/>
  <c r="M17" i="13"/>
  <c r="K17" i="13"/>
  <c r="I17" i="13"/>
  <c r="G17" i="13"/>
  <c r="S16" i="13"/>
  <c r="Q16" i="13"/>
  <c r="O16" i="13"/>
  <c r="M16" i="13"/>
  <c r="K16" i="13"/>
  <c r="I16" i="13"/>
  <c r="G16" i="13"/>
  <c r="S15" i="13"/>
  <c r="Q15" i="13"/>
  <c r="O15" i="13"/>
  <c r="M15" i="13"/>
  <c r="K15" i="13"/>
  <c r="I15" i="13"/>
  <c r="G15" i="13"/>
  <c r="S13" i="13"/>
  <c r="Q13" i="13"/>
  <c r="O13" i="13"/>
  <c r="M13" i="13"/>
  <c r="K13" i="13"/>
  <c r="I13" i="13"/>
  <c r="G13" i="13"/>
  <c r="S12" i="13"/>
  <c r="Q12" i="13"/>
  <c r="S11" i="13"/>
  <c r="Q11" i="13"/>
  <c r="O11" i="13"/>
  <c r="M11" i="13"/>
  <c r="K11" i="13"/>
  <c r="I11" i="13"/>
  <c r="G11" i="13"/>
  <c r="S10" i="13"/>
  <c r="Q10" i="13"/>
  <c r="O10" i="13"/>
  <c r="M10" i="13"/>
  <c r="K10" i="13"/>
  <c r="I10" i="13"/>
  <c r="G10" i="13"/>
  <c r="G19" i="13" s="1"/>
  <c r="S9" i="13"/>
  <c r="S19" i="13" s="1"/>
  <c r="Q9" i="13"/>
  <c r="Q19" i="13" s="1"/>
  <c r="O9" i="13"/>
  <c r="O19" i="13" s="1"/>
  <c r="M9" i="13"/>
  <c r="M19" i="13" s="1"/>
  <c r="K9" i="13"/>
  <c r="K19" i="13" s="1"/>
  <c r="I9" i="13"/>
  <c r="I19" i="13" s="1"/>
  <c r="G9" i="13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T19" i="11"/>
  <c r="R19" i="11"/>
  <c r="P19" i="11"/>
  <c r="N19" i="11"/>
  <c r="M19" i="11"/>
  <c r="L19" i="11"/>
  <c r="K19" i="11"/>
  <c r="J19" i="11"/>
  <c r="H19" i="11"/>
  <c r="F19" i="11"/>
  <c r="S18" i="11"/>
  <c r="Q18" i="11"/>
  <c r="O18" i="11"/>
  <c r="M18" i="11"/>
  <c r="K18" i="11"/>
  <c r="I18" i="11"/>
  <c r="G18" i="11"/>
  <c r="S17" i="11"/>
  <c r="Q17" i="11"/>
  <c r="O17" i="11"/>
  <c r="M17" i="11"/>
  <c r="K17" i="11"/>
  <c r="I17" i="11"/>
  <c r="G17" i="11"/>
  <c r="S16" i="11"/>
  <c r="Q16" i="11"/>
  <c r="O16" i="11"/>
  <c r="M16" i="11"/>
  <c r="K16" i="11"/>
  <c r="I16" i="11"/>
  <c r="G16" i="11"/>
  <c r="S15" i="11"/>
  <c r="Q15" i="11"/>
  <c r="O15" i="11"/>
  <c r="M15" i="11"/>
  <c r="K15" i="11"/>
  <c r="I15" i="11"/>
  <c r="G15" i="11"/>
  <c r="S13" i="11"/>
  <c r="S19" i="11" s="1"/>
  <c r="Q13" i="11"/>
  <c r="Q19" i="11" s="1"/>
  <c r="O13" i="11"/>
  <c r="O19" i="11" s="1"/>
  <c r="M13" i="11"/>
  <c r="K13" i="11"/>
  <c r="I13" i="11"/>
  <c r="G13" i="11"/>
  <c r="S12" i="11"/>
  <c r="Q12" i="11"/>
  <c r="S11" i="11"/>
  <c r="Q11" i="11"/>
  <c r="O11" i="11"/>
  <c r="M11" i="11"/>
  <c r="K11" i="11"/>
  <c r="I11" i="11"/>
  <c r="G11" i="11"/>
  <c r="S10" i="11"/>
  <c r="Q10" i="11"/>
  <c r="O10" i="11"/>
  <c r="M10" i="11"/>
  <c r="K10" i="11"/>
  <c r="I10" i="11"/>
  <c r="I19" i="11" s="1"/>
  <c r="G10" i="11"/>
  <c r="G19" i="11" s="1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T19" i="9"/>
  <c r="R19" i="9"/>
  <c r="P19" i="9"/>
  <c r="N19" i="9"/>
  <c r="L19" i="9"/>
  <c r="J19" i="9"/>
  <c r="H19" i="9"/>
  <c r="F19" i="9"/>
  <c r="S18" i="9"/>
  <c r="Q18" i="9"/>
  <c r="O18" i="9"/>
  <c r="M18" i="9"/>
  <c r="K18" i="9"/>
  <c r="I18" i="9"/>
  <c r="G18" i="9"/>
  <c r="S17" i="9"/>
  <c r="Q17" i="9"/>
  <c r="O17" i="9"/>
  <c r="M17" i="9"/>
  <c r="K17" i="9"/>
  <c r="I17" i="9"/>
  <c r="G17" i="9"/>
  <c r="S16" i="9"/>
  <c r="Q16" i="9"/>
  <c r="O16" i="9"/>
  <c r="M16" i="9"/>
  <c r="K16" i="9"/>
  <c r="K19" i="9" s="1"/>
  <c r="I16" i="9"/>
  <c r="I19" i="9" s="1"/>
  <c r="G16" i="9"/>
  <c r="G19" i="9" s="1"/>
  <c r="S15" i="9"/>
  <c r="Q15" i="9"/>
  <c r="O15" i="9"/>
  <c r="M15" i="9"/>
  <c r="K15" i="9"/>
  <c r="I15" i="9"/>
  <c r="G15" i="9"/>
  <c r="S13" i="9"/>
  <c r="Q13" i="9"/>
  <c r="S11" i="9"/>
  <c r="Q11" i="9"/>
  <c r="O11" i="9"/>
  <c r="M11" i="9"/>
  <c r="K11" i="9"/>
  <c r="I11" i="9"/>
  <c r="G11" i="9"/>
  <c r="S10" i="9"/>
  <c r="Q10" i="9"/>
  <c r="O10" i="9"/>
  <c r="O19" i="9" s="1"/>
  <c r="M10" i="9"/>
  <c r="M19" i="9" s="1"/>
  <c r="K10" i="9"/>
  <c r="I10" i="9"/>
  <c r="G10" i="9"/>
  <c r="S9" i="9"/>
  <c r="S19" i="9" s="1"/>
  <c r="Q9" i="9"/>
  <c r="Q19" i="9" s="1"/>
  <c r="O9" i="9"/>
  <c r="M9" i="9"/>
  <c r="K9" i="9"/>
  <c r="I9" i="9"/>
  <c r="G9" i="9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T19" i="7"/>
  <c r="S19" i="7"/>
  <c r="R19" i="7"/>
  <c r="P19" i="7"/>
  <c r="N19" i="7"/>
  <c r="L19" i="7"/>
  <c r="J19" i="7"/>
  <c r="H19" i="7"/>
  <c r="F19" i="7"/>
  <c r="S18" i="7"/>
  <c r="Q18" i="7"/>
  <c r="O18" i="7"/>
  <c r="M18" i="7"/>
  <c r="K18" i="7"/>
  <c r="I18" i="7"/>
  <c r="G18" i="7"/>
  <c r="S17" i="7"/>
  <c r="Q17" i="7"/>
  <c r="O17" i="7"/>
  <c r="M17" i="7"/>
  <c r="K17" i="7"/>
  <c r="I17" i="7"/>
  <c r="G17" i="7"/>
  <c r="S16" i="7"/>
  <c r="Q16" i="7"/>
  <c r="O16" i="7"/>
  <c r="M16" i="7"/>
  <c r="K16" i="7"/>
  <c r="I16" i="7"/>
  <c r="G16" i="7"/>
  <c r="S15" i="7"/>
  <c r="Q15" i="7"/>
  <c r="O15" i="7"/>
  <c r="M15" i="7"/>
  <c r="K15" i="7"/>
  <c r="I15" i="7"/>
  <c r="G15" i="7"/>
  <c r="S13" i="7"/>
  <c r="Q13" i="7"/>
  <c r="O13" i="7"/>
  <c r="M13" i="7"/>
  <c r="K13" i="7"/>
  <c r="I13" i="7"/>
  <c r="G13" i="7"/>
  <c r="S11" i="7"/>
  <c r="Q11" i="7"/>
  <c r="O11" i="7"/>
  <c r="M11" i="7"/>
  <c r="K11" i="7"/>
  <c r="I11" i="7"/>
  <c r="I19" i="7" s="1"/>
  <c r="G11" i="7"/>
  <c r="G19" i="7" s="1"/>
  <c r="S10" i="7"/>
  <c r="Q10" i="7"/>
  <c r="Q19" i="7" s="1"/>
  <c r="O10" i="7"/>
  <c r="O19" i="7" s="1"/>
  <c r="M10" i="7"/>
  <c r="M19" i="7" s="1"/>
  <c r="K10" i="7"/>
  <c r="K19" i="7" s="1"/>
  <c r="I10" i="7"/>
  <c r="G10" i="7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T19" i="5"/>
  <c r="R19" i="5"/>
  <c r="P19" i="5"/>
  <c r="N19" i="5"/>
  <c r="L19" i="5"/>
  <c r="K19" i="5"/>
  <c r="J19" i="5"/>
  <c r="H19" i="5"/>
  <c r="F19" i="5"/>
  <c r="S18" i="5"/>
  <c r="Q18" i="5"/>
  <c r="O18" i="5"/>
  <c r="M18" i="5"/>
  <c r="K18" i="5"/>
  <c r="I18" i="5"/>
  <c r="G18" i="5"/>
  <c r="S17" i="5"/>
  <c r="Q17" i="5"/>
  <c r="O17" i="5"/>
  <c r="S16" i="5"/>
  <c r="Q16" i="5"/>
  <c r="O16" i="5"/>
  <c r="M16" i="5"/>
  <c r="K16" i="5"/>
  <c r="I16" i="5"/>
  <c r="G16" i="5"/>
  <c r="S15" i="5"/>
  <c r="Q15" i="5"/>
  <c r="O15" i="5"/>
  <c r="M15" i="5"/>
  <c r="K15" i="5"/>
  <c r="I15" i="5"/>
  <c r="G15" i="5"/>
  <c r="S13" i="5"/>
  <c r="Q13" i="5"/>
  <c r="O13" i="5"/>
  <c r="M13" i="5"/>
  <c r="K13" i="5"/>
  <c r="I13" i="5"/>
  <c r="G13" i="5"/>
  <c r="S11" i="5"/>
  <c r="S19" i="5" s="1"/>
  <c r="Q11" i="5"/>
  <c r="Q19" i="5" s="1"/>
  <c r="O11" i="5"/>
  <c r="O19" i="5" s="1"/>
  <c r="M11" i="5"/>
  <c r="M19" i="5" s="1"/>
  <c r="K11" i="5"/>
  <c r="I11" i="5"/>
  <c r="G11" i="5"/>
  <c r="S10" i="5"/>
  <c r="Q10" i="5"/>
  <c r="O10" i="5"/>
  <c r="M10" i="5"/>
  <c r="K10" i="5"/>
  <c r="I10" i="5"/>
  <c r="I19" i="5" s="1"/>
  <c r="G10" i="5"/>
  <c r="G19" i="5" s="1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T19" i="3"/>
  <c r="S19" i="3"/>
  <c r="R19" i="3"/>
  <c r="P19" i="3"/>
  <c r="N19" i="3"/>
  <c r="L19" i="3"/>
  <c r="J19" i="3"/>
  <c r="H19" i="3"/>
  <c r="F19" i="3"/>
  <c r="S18" i="3"/>
  <c r="Q18" i="3"/>
  <c r="O18" i="3"/>
  <c r="M18" i="3"/>
  <c r="K18" i="3"/>
  <c r="I18" i="3"/>
  <c r="G18" i="3"/>
  <c r="S17" i="3"/>
  <c r="Q17" i="3"/>
  <c r="O17" i="3"/>
  <c r="M17" i="3"/>
  <c r="K17" i="3"/>
  <c r="I17" i="3"/>
  <c r="G17" i="3"/>
  <c r="S16" i="3"/>
  <c r="Q16" i="3"/>
  <c r="O16" i="3"/>
  <c r="M16" i="3"/>
  <c r="K16" i="3"/>
  <c r="I16" i="3"/>
  <c r="G16" i="3"/>
  <c r="S15" i="3"/>
  <c r="Q15" i="3"/>
  <c r="O15" i="3"/>
  <c r="M15" i="3"/>
  <c r="K15" i="3"/>
  <c r="I15" i="3"/>
  <c r="G15" i="3"/>
  <c r="S11" i="3"/>
  <c r="Q11" i="3"/>
  <c r="O11" i="3"/>
  <c r="M11" i="3"/>
  <c r="K11" i="3"/>
  <c r="I11" i="3"/>
  <c r="G11" i="3"/>
  <c r="S10" i="3"/>
  <c r="Q10" i="3"/>
  <c r="Q19" i="3" s="1"/>
  <c r="O10" i="3"/>
  <c r="M10" i="3"/>
  <c r="K10" i="3"/>
  <c r="I10" i="3"/>
  <c r="G10" i="3"/>
  <c r="O9" i="3"/>
  <c r="O19" i="3" s="1"/>
  <c r="M9" i="3"/>
  <c r="M19" i="3" s="1"/>
  <c r="K9" i="3"/>
  <c r="K19" i="3" s="1"/>
  <c r="I9" i="3"/>
  <c r="I19" i="3" s="1"/>
  <c r="G9" i="3"/>
  <c r="G19" i="3" s="1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T19" i="1"/>
  <c r="R19" i="1"/>
  <c r="P19" i="1"/>
  <c r="N19" i="1"/>
  <c r="M19" i="1"/>
  <c r="L19" i="1"/>
  <c r="K19" i="1"/>
  <c r="J19" i="1"/>
  <c r="I19" i="1"/>
  <c r="H19" i="1"/>
  <c r="F19" i="1"/>
  <c r="S18" i="1"/>
  <c r="Q18" i="1"/>
  <c r="O18" i="1"/>
  <c r="M18" i="1"/>
  <c r="K18" i="1"/>
  <c r="I18" i="1"/>
  <c r="G18" i="1"/>
  <c r="S17" i="1"/>
  <c r="Q17" i="1"/>
  <c r="O17" i="1"/>
  <c r="M17" i="1"/>
  <c r="K17" i="1"/>
  <c r="I17" i="1"/>
  <c r="G17" i="1"/>
  <c r="S16" i="1"/>
  <c r="Q16" i="1"/>
  <c r="O16" i="1"/>
  <c r="M16" i="1"/>
  <c r="K16" i="1"/>
  <c r="I16" i="1"/>
  <c r="G16" i="1"/>
  <c r="S15" i="1"/>
  <c r="Q15" i="1"/>
  <c r="O15" i="1"/>
  <c r="M15" i="1"/>
  <c r="K15" i="1"/>
  <c r="I15" i="1"/>
  <c r="G15" i="1"/>
  <c r="S12" i="1"/>
  <c r="S11" i="1"/>
  <c r="Q11" i="1"/>
  <c r="Q19" i="1" s="1"/>
  <c r="O11" i="1"/>
  <c r="O19" i="1" s="1"/>
  <c r="M11" i="1"/>
  <c r="K11" i="1"/>
  <c r="I11" i="1"/>
  <c r="G11" i="1"/>
  <c r="S10" i="1"/>
  <c r="S19" i="1" s="1"/>
  <c r="Q10" i="1"/>
  <c r="O10" i="1"/>
  <c r="M10" i="1"/>
  <c r="K10" i="1"/>
  <c r="I10" i="1"/>
  <c r="G10" i="1"/>
  <c r="O9" i="1"/>
  <c r="M9" i="1"/>
  <c r="K9" i="1"/>
  <c r="I9" i="1"/>
  <c r="G9" i="1"/>
  <c r="G19" i="1" s="1"/>
</calcChain>
</file>

<file path=xl/sharedStrings.xml><?xml version="1.0" encoding="utf-8"?>
<sst xmlns="http://schemas.openxmlformats.org/spreadsheetml/2006/main" count="768" uniqueCount="35">
  <si>
    <t>italics - interpolated value</t>
  </si>
  <si>
    <t>Electricity Generation (TWh/year)</t>
  </si>
  <si>
    <t>Scenario</t>
  </si>
  <si>
    <t>FEL Base Case 2026</t>
  </si>
  <si>
    <t>Country</t>
  </si>
  <si>
    <t>Germany</t>
  </si>
  <si>
    <t>Summe von ElectricityGenerationTWh</t>
  </si>
  <si>
    <t>Year</t>
  </si>
  <si>
    <t>GenerationTechnology</t>
  </si>
  <si>
    <t>Coal</t>
  </si>
  <si>
    <t>Gas</t>
  </si>
  <si>
    <t>Hydro</t>
  </si>
  <si>
    <t>Hydrogen</t>
  </si>
  <si>
    <t>Nuclear</t>
  </si>
  <si>
    <t>Oil</t>
  </si>
  <si>
    <t>Other Renewables</t>
  </si>
  <si>
    <t>Solar</t>
  </si>
  <si>
    <t>Wind Offshore</t>
  </si>
  <si>
    <t>Wind Onshore</t>
  </si>
  <si>
    <t>Grand Total</t>
  </si>
  <si>
    <t>Installed Capacity (GW)</t>
  </si>
  <si>
    <t>Summe von InstalledCapacityGW</t>
  </si>
  <si>
    <t>Net Capacity Additions (GW)</t>
  </si>
  <si>
    <t>Summe von NetCapacityAdditionsGW</t>
  </si>
  <si>
    <t>Retirements (GW)</t>
  </si>
  <si>
    <t>Sum of RetirementsGW</t>
  </si>
  <si>
    <t>Gross Capacity Additions (GW)</t>
  </si>
  <si>
    <t>Summe von GrossCapacityAdditionsGW</t>
  </si>
  <si>
    <t>Italy</t>
  </si>
  <si>
    <t>Spain</t>
  </si>
  <si>
    <t>France</t>
  </si>
  <si>
    <t>Poland</t>
  </si>
  <si>
    <t>United Kingdom</t>
  </si>
  <si>
    <t>Other EU</t>
  </si>
  <si>
    <t>EU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</si>
</sst>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2" borderId="0" xfId="0" applyFill="1"/>
    <xf numFmtId="0" fontId="2" fillId="0" borderId="0" xfId="0" applyFont="1"/>
    <xf numFmtId="3" fontId="2" fillId="0" borderId="0" xfId="0" applyNumberFormat="1" applyFont="1"/>
  </cellXfs>
  <cellStyles count="2">
    <cellStyle name="Normal" xfId="0" builtinId="0"/>
    <cellStyle name="Stand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5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>
        <v>84.849178961999755</v>
      </c>
      <c r="G9" s="5">
        <f>(F9+H9)/2</f>
        <v>77.224435312999788</v>
      </c>
      <c r="H9" s="1">
        <v>69.599691663999806</v>
      </c>
      <c r="I9" s="5">
        <f>(H9+J9)/2</f>
        <v>58.897682246999906</v>
      </c>
      <c r="J9" s="1">
        <v>48.195672830000007</v>
      </c>
      <c r="K9" s="5">
        <f>(J9+L9)/2</f>
        <v>42.908742788999987</v>
      </c>
      <c r="L9" s="1">
        <v>37.621812747999961</v>
      </c>
      <c r="M9" s="5">
        <f>(L9+N9)/2</f>
        <v>34.404386211999977</v>
      </c>
      <c r="N9" s="1">
        <v>31.18695967599999</v>
      </c>
      <c r="O9" s="5">
        <f>(N9+P9)/2</f>
        <v>25.944409133999997</v>
      </c>
      <c r="P9" s="1">
        <v>20.701858592000001</v>
      </c>
      <c r="Q9" s="1"/>
      <c r="R9" s="1"/>
      <c r="S9" s="1"/>
      <c r="T9" s="1"/>
    </row>
    <row r="10" spans="2:20" x14ac:dyDescent="0.25">
      <c r="B10" t="s">
        <v>10</v>
      </c>
      <c r="C10" s="1"/>
      <c r="D10" s="1"/>
      <c r="E10" s="1"/>
      <c r="F10" s="1">
        <v>92.513686724000152</v>
      </c>
      <c r="G10" s="5">
        <f>(F10+H10)/2</f>
        <v>93.025273266000113</v>
      </c>
      <c r="H10" s="1">
        <v>93.536859808000088</v>
      </c>
      <c r="I10" s="5">
        <f>(H10+J10)/2</f>
        <v>103.92177407000014</v>
      </c>
      <c r="J10" s="1">
        <v>114.30668833200021</v>
      </c>
      <c r="K10" s="5">
        <f>(J10+L10)/2</f>
        <v>122.7633079480002</v>
      </c>
      <c r="L10" s="1">
        <v>131.21992756400019</v>
      </c>
      <c r="M10" s="5">
        <f>(L10+N10)/2</f>
        <v>134.26713547000014</v>
      </c>
      <c r="N10" s="1">
        <v>137.3143433760001</v>
      </c>
      <c r="O10" s="5">
        <f>(N10+P10)/2</f>
        <v>136.32313318100014</v>
      </c>
      <c r="P10" s="1">
        <v>135.33192298600019</v>
      </c>
      <c r="Q10" s="5">
        <f>(P10+R10)/2</f>
        <v>137.66106335700022</v>
      </c>
      <c r="R10" s="1">
        <v>139.99020372800021</v>
      </c>
      <c r="S10" s="5">
        <f>(R10+T10)/2</f>
        <v>139.31778773600024</v>
      </c>
      <c r="T10" s="1">
        <v>138.6453717440003</v>
      </c>
    </row>
    <row r="11" spans="2:20" x14ac:dyDescent="0.25">
      <c r="B11" t="s">
        <v>11</v>
      </c>
      <c r="C11" s="1"/>
      <c r="D11" s="1"/>
      <c r="E11" s="1"/>
      <c r="F11" s="1">
        <v>20.250007438000029</v>
      </c>
      <c r="G11" s="5">
        <f>(F11+H11)/2</f>
        <v>20.325593974000014</v>
      </c>
      <c r="H11" s="1">
        <v>20.40118051</v>
      </c>
      <c r="I11" s="5">
        <f>(H11+J11)/2</f>
        <v>20.477157156000011</v>
      </c>
      <c r="J11" s="1">
        <v>20.553133802000019</v>
      </c>
      <c r="K11" s="5">
        <f>(J11+L11)/2</f>
        <v>20.629113045999993</v>
      </c>
      <c r="L11" s="1">
        <v>20.705092289999971</v>
      </c>
      <c r="M11" s="5">
        <f>(L11+N11)/2</f>
        <v>20.780678490999946</v>
      </c>
      <c r="N11" s="1">
        <v>20.856264691999922</v>
      </c>
      <c r="O11" s="5">
        <f>(N11+P11)/2</f>
        <v>20.932240050999944</v>
      </c>
      <c r="P11" s="1">
        <v>21.00821540999997</v>
      </c>
      <c r="Q11" s="5">
        <f>(P11+R11)/2</f>
        <v>21.095131119999976</v>
      </c>
      <c r="R11" s="1">
        <v>21.18204682999998</v>
      </c>
      <c r="S11" s="5">
        <f>(R11+T11)/2</f>
        <v>21.26890383200001</v>
      </c>
      <c r="T11" s="1">
        <v>21.355760834000041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1.3906159920000001</v>
      </c>
      <c r="S12" s="5">
        <f>(R12+T12)/2</f>
        <v>2.5712208360000002</v>
      </c>
      <c r="T12" s="1">
        <v>3.7518256800000001</v>
      </c>
    </row>
    <row r="13" spans="2:20" x14ac:dyDescent="0.25">
      <c r="B13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53.76708864200026</v>
      </c>
      <c r="G15" s="5">
        <f>(F15+H15)/2</f>
        <v>54.451261576000107</v>
      </c>
      <c r="H15" s="1">
        <v>55.135434509999953</v>
      </c>
      <c r="I15" s="5">
        <f>(H15+J15)/2</f>
        <v>54.290544152999658</v>
      </c>
      <c r="J15" s="1">
        <v>53.445653795999363</v>
      </c>
      <c r="K15" s="5">
        <f>(J15+L15)/2</f>
        <v>54.504774815000133</v>
      </c>
      <c r="L15" s="1">
        <v>55.56389583400091</v>
      </c>
      <c r="M15" s="5">
        <f>(L15+N15)/2</f>
        <v>56.616893111001062</v>
      </c>
      <c r="N15" s="1">
        <v>57.669890388001207</v>
      </c>
      <c r="O15" s="5">
        <f>(N15+P15)/2</f>
        <v>58.94753210300064</v>
      </c>
      <c r="P15" s="1">
        <v>60.225173818000073</v>
      </c>
      <c r="Q15" s="5">
        <f>(P15+R15)/2</f>
        <v>61.520632683000329</v>
      </c>
      <c r="R15" s="1">
        <v>62.816091548000593</v>
      </c>
      <c r="S15" s="5">
        <f>(R15+T15)/2</f>
        <v>64.10543801200015</v>
      </c>
      <c r="T15" s="1">
        <v>65.394784475999714</v>
      </c>
    </row>
    <row r="16" spans="2:20" x14ac:dyDescent="0.25">
      <c r="B16" t="s">
        <v>16</v>
      </c>
      <c r="C16" s="1"/>
      <c r="D16" s="1"/>
      <c r="E16" s="1"/>
      <c r="F16" s="1">
        <v>92.811860299999992</v>
      </c>
      <c r="G16" s="5">
        <f>(F16+H16)/2</f>
        <v>101.08058227399994</v>
      </c>
      <c r="H16" s="1">
        <v>109.3493042479999</v>
      </c>
      <c r="I16" s="5">
        <f>(H16+J16)/2</f>
        <v>118.90429878099989</v>
      </c>
      <c r="J16" s="1">
        <v>128.45929331399989</v>
      </c>
      <c r="K16" s="5">
        <f>(J16+L16)/2</f>
        <v>136.11099662899989</v>
      </c>
      <c r="L16" s="1">
        <v>143.76269994399991</v>
      </c>
      <c r="M16" s="5">
        <f>(L16+N16)/2</f>
        <v>150.24894835899988</v>
      </c>
      <c r="N16" s="1">
        <v>156.73519677399989</v>
      </c>
      <c r="O16" s="5">
        <f>(N16+P16)/2</f>
        <v>161.84747944599994</v>
      </c>
      <c r="P16" s="1">
        <v>166.95976211799999</v>
      </c>
      <c r="Q16" s="5">
        <f>(P16+R16)/2</f>
        <v>172.11468989100001</v>
      </c>
      <c r="R16" s="1">
        <v>177.26961766400001</v>
      </c>
      <c r="S16" s="5">
        <f>(R16+T16)/2</f>
        <v>179.88616293300001</v>
      </c>
      <c r="T16" s="1">
        <v>182.50270820200001</v>
      </c>
    </row>
    <row r="17" spans="2:20" x14ac:dyDescent="0.25">
      <c r="B17" t="s">
        <v>17</v>
      </c>
      <c r="C17" s="1"/>
      <c r="D17" s="1"/>
      <c r="E17" s="1"/>
      <c r="F17" s="1">
        <v>31.599992358000002</v>
      </c>
      <c r="G17" s="5">
        <f>(F17+H17)/2</f>
        <v>35.796571866999997</v>
      </c>
      <c r="H17" s="1">
        <v>39.993151375999993</v>
      </c>
      <c r="I17" s="5">
        <f>(H17+J17)/2</f>
        <v>42.152386387999996</v>
      </c>
      <c r="J17" s="1">
        <v>44.311621400000007</v>
      </c>
      <c r="K17" s="5">
        <f>(J17+L17)/2</f>
        <v>50.998836679000021</v>
      </c>
      <c r="L17" s="1">
        <v>57.686051958000029</v>
      </c>
      <c r="M17" s="5">
        <f>(L17+N17)/2</f>
        <v>64.863303175000013</v>
      </c>
      <c r="N17" s="1">
        <v>72.040554392000004</v>
      </c>
      <c r="O17" s="5">
        <f>(N17+P17)/2</f>
        <v>77.321299799000002</v>
      </c>
      <c r="P17" s="1">
        <v>82.602045205999985</v>
      </c>
      <c r="Q17" s="5">
        <f>(P17+R17)/2</f>
        <v>86.786968538000025</v>
      </c>
      <c r="R17" s="1">
        <v>90.971891870000078</v>
      </c>
      <c r="S17" s="5">
        <f>(R17+T17)/2</f>
        <v>94.074268680000017</v>
      </c>
      <c r="T17" s="1">
        <v>97.17664548999997</v>
      </c>
    </row>
    <row r="18" spans="2:20" x14ac:dyDescent="0.25">
      <c r="B18" t="s">
        <v>18</v>
      </c>
      <c r="C18" s="1"/>
      <c r="D18" s="1"/>
      <c r="E18" s="1"/>
      <c r="F18" s="1">
        <v>121.874479728</v>
      </c>
      <c r="G18" s="5">
        <f>(F18+H18)/2</f>
        <v>138.72863362099994</v>
      </c>
      <c r="H18" s="1">
        <v>155.5827875139999</v>
      </c>
      <c r="I18" s="5">
        <f>(H18+J18)/2</f>
        <v>169.48961648699992</v>
      </c>
      <c r="J18" s="1">
        <v>183.39644545999991</v>
      </c>
      <c r="K18" s="5">
        <f>(J18+L18)/2</f>
        <v>190.7533984939999</v>
      </c>
      <c r="L18" s="1">
        <v>198.11035152799991</v>
      </c>
      <c r="M18" s="5">
        <f>(L18+N18)/2</f>
        <v>202.7464813739999</v>
      </c>
      <c r="N18" s="1">
        <v>207.38261121999989</v>
      </c>
      <c r="O18" s="5">
        <f>(N18+P18)/2</f>
        <v>211.59004740799989</v>
      </c>
      <c r="P18" s="1">
        <v>215.79748359599989</v>
      </c>
      <c r="Q18" s="5">
        <f>(P18+R18)/2</f>
        <v>218.622810585</v>
      </c>
      <c r="R18" s="1">
        <v>221.4481375740001</v>
      </c>
      <c r="S18" s="5">
        <f>(R18+T18)/2</f>
        <v>221.36485839900007</v>
      </c>
      <c r="T18" s="1">
        <v>221.28157922400001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497.66629415200021</v>
      </c>
      <c r="G19" s="5">
        <f t="shared" si="0"/>
        <v>520.63235189099987</v>
      </c>
      <c r="H19" s="1">
        <f t="shared" si="0"/>
        <v>543.59840962999965</v>
      </c>
      <c r="I19" s="5">
        <f t="shared" si="0"/>
        <v>568.13345928199954</v>
      </c>
      <c r="J19" s="1">
        <f t="shared" si="0"/>
        <v>592.66850893399942</v>
      </c>
      <c r="K19" s="5">
        <f t="shared" si="0"/>
        <v>618.6691704000001</v>
      </c>
      <c r="L19" s="1">
        <f t="shared" si="0"/>
        <v>644.66983186600089</v>
      </c>
      <c r="M19" s="5">
        <f t="shared" si="0"/>
        <v>663.92782619200091</v>
      </c>
      <c r="N19" s="1">
        <f t="shared" si="0"/>
        <v>683.18582051800104</v>
      </c>
      <c r="O19" s="5">
        <f t="shared" si="0"/>
        <v>692.90614112200058</v>
      </c>
      <c r="P19" s="1">
        <f t="shared" si="0"/>
        <v>702.62646172600012</v>
      </c>
      <c r="Q19" s="5">
        <f t="shared" si="0"/>
        <v>697.80129617400053</v>
      </c>
      <c r="R19" s="1">
        <f t="shared" si="0"/>
        <v>715.06860520600094</v>
      </c>
      <c r="S19" s="5">
        <f t="shared" si="0"/>
        <v>722.58864042800042</v>
      </c>
      <c r="T19" s="1">
        <f t="shared" si="0"/>
        <v>730.10867565000001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7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5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31.129000000000001</v>
      </c>
      <c r="F9" s="1">
        <v>29.151</v>
      </c>
      <c r="G9" s="1">
        <v>28.967700000000001</v>
      </c>
      <c r="H9" s="1">
        <v>28.0307</v>
      </c>
      <c r="I9" s="1">
        <v>25.1907</v>
      </c>
      <c r="J9" s="1">
        <v>22.2882</v>
      </c>
      <c r="K9" s="1">
        <v>19.3232</v>
      </c>
      <c r="L9" s="1">
        <v>17.386199999999999</v>
      </c>
      <c r="M9" s="1">
        <v>15.510199999999999</v>
      </c>
      <c r="N9" s="1">
        <v>14.889799999999999</v>
      </c>
      <c r="O9" s="1">
        <v>13.028600000000001</v>
      </c>
      <c r="P9" s="1">
        <v>9.9265000000000008</v>
      </c>
      <c r="Q9" s="1">
        <v>5.5837000000000003</v>
      </c>
      <c r="R9" s="1">
        <v>0</v>
      </c>
      <c r="S9" s="1">
        <v>0</v>
      </c>
      <c r="T9" s="1">
        <v>0</v>
      </c>
    </row>
    <row r="10" spans="2:20" x14ac:dyDescent="0.25">
      <c r="B10" t="s">
        <v>10</v>
      </c>
      <c r="C10" s="1"/>
      <c r="D10" s="1"/>
      <c r="E10" s="1">
        <v>38.529000000000003</v>
      </c>
      <c r="F10" s="1">
        <v>38.529000000000003</v>
      </c>
      <c r="G10" s="1">
        <v>39.01</v>
      </c>
      <c r="H10" s="1">
        <v>41.34</v>
      </c>
      <c r="I10" s="1">
        <v>45.83</v>
      </c>
      <c r="J10" s="1">
        <v>47.6</v>
      </c>
      <c r="K10" s="1">
        <v>52.13</v>
      </c>
      <c r="L10" s="1">
        <v>53.3</v>
      </c>
      <c r="M10" s="1">
        <v>54.402999999999999</v>
      </c>
      <c r="N10" s="1">
        <v>57.180300000000003</v>
      </c>
      <c r="O10" s="1">
        <v>59.268900000000002</v>
      </c>
      <c r="P10" s="1">
        <v>61.594999999999999</v>
      </c>
      <c r="Q10" s="1">
        <v>63.521299999999997</v>
      </c>
      <c r="R10" s="1">
        <v>65.047499999999999</v>
      </c>
      <c r="S10" s="1">
        <v>66.673900000000003</v>
      </c>
      <c r="T10" s="1">
        <v>68.2</v>
      </c>
    </row>
    <row r="11" spans="2:20" x14ac:dyDescent="0.25">
      <c r="B11" t="s">
        <v>11</v>
      </c>
      <c r="C11" s="1"/>
      <c r="D11" s="1"/>
      <c r="E11" s="1">
        <v>5.35</v>
      </c>
      <c r="F11" s="1">
        <v>5.3650000000000002</v>
      </c>
      <c r="G11" s="1">
        <v>5.375</v>
      </c>
      <c r="H11" s="1">
        <v>5.3849999999999998</v>
      </c>
      <c r="I11" s="1">
        <v>5.3849999999999998</v>
      </c>
      <c r="J11" s="1">
        <v>5.3898999999999999</v>
      </c>
      <c r="K11" s="1">
        <v>5.3998999999999997</v>
      </c>
      <c r="L11" s="1">
        <v>5.4099000000000004</v>
      </c>
      <c r="M11" s="1">
        <v>5.4199000000000002</v>
      </c>
      <c r="N11" s="1">
        <v>5.4298999999999999</v>
      </c>
      <c r="O11" s="1">
        <v>5.4398999999999997</v>
      </c>
      <c r="P11" s="1">
        <v>5.4499000000000004</v>
      </c>
      <c r="Q11" s="1">
        <v>5.4598999999999993</v>
      </c>
      <c r="R11" s="1">
        <v>5.4699</v>
      </c>
      <c r="S11" s="1">
        <v>5.4798999999999998</v>
      </c>
      <c r="T11" s="1">
        <v>5.4898999999999996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0.4</v>
      </c>
      <c r="R12" s="1">
        <v>0.6</v>
      </c>
      <c r="S12" s="1">
        <v>0.8</v>
      </c>
      <c r="T12" s="1">
        <v>1.2</v>
      </c>
    </row>
    <row r="13" spans="2:20" x14ac:dyDescent="0.25">
      <c r="B13" t="s">
        <v>13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2:20" x14ac:dyDescent="0.25">
      <c r="B14" t="s">
        <v>14</v>
      </c>
      <c r="C14" s="1"/>
      <c r="D14" s="1"/>
      <c r="E14" s="1">
        <v>6.9139999999999997</v>
      </c>
      <c r="F14" s="1">
        <v>6.7967000000000004</v>
      </c>
      <c r="G14" s="1">
        <v>6.6794000000000002</v>
      </c>
      <c r="H14" s="1">
        <v>6.5620000000000003</v>
      </c>
      <c r="I14" s="1">
        <v>6.4447000000000001</v>
      </c>
      <c r="J14" s="1">
        <v>6.3860999999999999</v>
      </c>
      <c r="K14" s="1">
        <v>6.3860999999999999</v>
      </c>
      <c r="L14" s="1">
        <v>5.6139000000000001</v>
      </c>
      <c r="M14" s="1">
        <v>5.0766</v>
      </c>
      <c r="N14" s="1">
        <v>5.0738000000000003</v>
      </c>
      <c r="O14" s="1">
        <v>5.0724</v>
      </c>
      <c r="P14" s="1">
        <v>5.0724</v>
      </c>
      <c r="Q14" s="1">
        <v>5.0724</v>
      </c>
      <c r="R14" s="1">
        <v>4.8723999999999998</v>
      </c>
      <c r="S14" s="1">
        <v>4.8723999999999998</v>
      </c>
      <c r="T14" s="1">
        <v>4.8723999999999998</v>
      </c>
    </row>
    <row r="15" spans="2:20" x14ac:dyDescent="0.25">
      <c r="B15" t="s">
        <v>15</v>
      </c>
      <c r="C15" s="1"/>
      <c r="D15" s="1"/>
      <c r="E15" s="1">
        <v>10.146000000000001</v>
      </c>
      <c r="F15" s="1">
        <v>10.315300000000001</v>
      </c>
      <c r="G15" s="1">
        <v>10.5372</v>
      </c>
      <c r="H15" s="1">
        <v>10.5783</v>
      </c>
      <c r="I15" s="1">
        <v>10.295500000000001</v>
      </c>
      <c r="J15" s="1">
        <v>10.254099999999999</v>
      </c>
      <c r="K15" s="1">
        <v>10.4541</v>
      </c>
      <c r="L15" s="1">
        <v>10.6591</v>
      </c>
      <c r="M15" s="1">
        <v>10.8591</v>
      </c>
      <c r="N15" s="1">
        <v>11.0641</v>
      </c>
      <c r="O15" s="1">
        <v>11.292199999999999</v>
      </c>
      <c r="P15" s="1">
        <v>11.5434</v>
      </c>
      <c r="Q15" s="1">
        <v>11.7897</v>
      </c>
      <c r="R15" s="1">
        <v>12.040900000000001</v>
      </c>
      <c r="S15" s="1">
        <v>12.2872</v>
      </c>
      <c r="T15" s="1">
        <v>12.5334</v>
      </c>
    </row>
    <row r="16" spans="2:20" x14ac:dyDescent="0.25">
      <c r="B16" t="s">
        <v>16</v>
      </c>
      <c r="C16" s="1"/>
      <c r="D16" s="1"/>
      <c r="E16" s="1">
        <v>107.2526</v>
      </c>
      <c r="F16" s="1">
        <v>124.99850000000001</v>
      </c>
      <c r="G16" s="1">
        <v>140.4556</v>
      </c>
      <c r="H16" s="1">
        <v>154.52189999999999</v>
      </c>
      <c r="I16" s="1">
        <v>167.82660000000001</v>
      </c>
      <c r="J16" s="1">
        <v>180.41980000000001</v>
      </c>
      <c r="K16" s="1">
        <v>192.3014</v>
      </c>
      <c r="L16" s="1">
        <v>198.5624</v>
      </c>
      <c r="M16" s="1">
        <v>204.99700000000001</v>
      </c>
      <c r="N16" s="1">
        <v>213.5411</v>
      </c>
      <c r="O16" s="1">
        <v>219.74449999999999</v>
      </c>
      <c r="P16" s="1">
        <v>223.60730000000001</v>
      </c>
      <c r="Q16" s="1">
        <v>229.10319999999999</v>
      </c>
      <c r="R16" s="1">
        <v>234.22649999999999</v>
      </c>
      <c r="S16" s="1">
        <v>238.82550000000001</v>
      </c>
      <c r="T16" s="1">
        <v>242.64109999999999</v>
      </c>
    </row>
    <row r="17" spans="2:20" x14ac:dyDescent="0.25">
      <c r="B17" t="s">
        <v>17</v>
      </c>
      <c r="C17" s="1"/>
      <c r="D17" s="1"/>
      <c r="E17" s="1">
        <v>9.6999999999999993</v>
      </c>
      <c r="F17" s="1">
        <v>11.29</v>
      </c>
      <c r="G17" s="1">
        <v>12.27</v>
      </c>
      <c r="H17" s="1">
        <v>14.82</v>
      </c>
      <c r="I17" s="1">
        <v>16.2</v>
      </c>
      <c r="J17" s="1">
        <v>16.54</v>
      </c>
      <c r="K17" s="1">
        <v>19.149999999999999</v>
      </c>
      <c r="L17" s="1">
        <v>21.87</v>
      </c>
      <c r="M17" s="1">
        <v>25.05</v>
      </c>
      <c r="N17" s="1">
        <v>27.55</v>
      </c>
      <c r="O17" s="1">
        <v>30.05</v>
      </c>
      <c r="P17" s="1">
        <v>31.55</v>
      </c>
      <c r="Q17" s="1">
        <v>33.049500000000002</v>
      </c>
      <c r="R17" s="1">
        <v>34.5486</v>
      </c>
      <c r="S17" s="1">
        <v>36.046599999999998</v>
      </c>
      <c r="T17" s="1">
        <v>37.045200000000001</v>
      </c>
    </row>
    <row r="18" spans="2:20" x14ac:dyDescent="0.25">
      <c r="B18" t="s">
        <v>18</v>
      </c>
      <c r="C18" s="1"/>
      <c r="D18" s="1"/>
      <c r="E18" s="1">
        <v>68.2</v>
      </c>
      <c r="F18" s="1">
        <v>75.12</v>
      </c>
      <c r="G18" s="1">
        <v>84.65</v>
      </c>
      <c r="H18" s="1">
        <v>95.49</v>
      </c>
      <c r="I18" s="1">
        <v>104.03</v>
      </c>
      <c r="J18" s="1">
        <v>111.105</v>
      </c>
      <c r="K18" s="1">
        <v>116.715</v>
      </c>
      <c r="L18" s="1">
        <v>119.075</v>
      </c>
      <c r="M18" s="1">
        <v>121.485</v>
      </c>
      <c r="N18" s="1">
        <v>123.91500000000001</v>
      </c>
      <c r="O18" s="1">
        <v>126.0163</v>
      </c>
      <c r="P18" s="1">
        <v>127.9102</v>
      </c>
      <c r="Q18" s="1">
        <v>129.2329</v>
      </c>
      <c r="R18" s="1">
        <v>130.00020000000001</v>
      </c>
      <c r="S18" s="1">
        <v>130.0994</v>
      </c>
      <c r="T18" s="1">
        <v>130</v>
      </c>
    </row>
    <row r="19" spans="2:20" x14ac:dyDescent="0.25">
      <c r="B19" t="s">
        <v>19</v>
      </c>
      <c r="C19" s="1"/>
      <c r="D19" s="1">
        <f t="shared" ref="D19:T19" si="0">SUM(D9:D18)</f>
        <v>0</v>
      </c>
      <c r="E19" s="1">
        <f t="shared" si="0"/>
        <v>277.22059999999999</v>
      </c>
      <c r="F19" s="1">
        <f t="shared" si="0"/>
        <v>301.56550000000004</v>
      </c>
      <c r="G19" s="1">
        <f t="shared" si="0"/>
        <v>327.94490000000002</v>
      </c>
      <c r="H19" s="1">
        <f t="shared" si="0"/>
        <v>356.72789999999998</v>
      </c>
      <c r="I19" s="1">
        <f t="shared" si="0"/>
        <v>381.20249999999999</v>
      </c>
      <c r="J19" s="1">
        <f t="shared" si="0"/>
        <v>399.98310000000004</v>
      </c>
      <c r="K19" s="1">
        <f t="shared" si="0"/>
        <v>421.85969999999998</v>
      </c>
      <c r="L19" s="1">
        <f t="shared" si="0"/>
        <v>431.87650000000002</v>
      </c>
      <c r="M19" s="1">
        <f t="shared" si="0"/>
        <v>442.80080000000004</v>
      </c>
      <c r="N19" s="1">
        <f t="shared" si="0"/>
        <v>458.64400000000001</v>
      </c>
      <c r="O19" s="1">
        <f t="shared" si="0"/>
        <v>469.9128</v>
      </c>
      <c r="P19" s="1">
        <f t="shared" si="0"/>
        <v>476.65470000000005</v>
      </c>
      <c r="Q19" s="1">
        <f t="shared" si="0"/>
        <v>483.21260000000007</v>
      </c>
      <c r="R19" s="1">
        <f t="shared" si="0"/>
        <v>486.80600000000004</v>
      </c>
      <c r="S19" s="1">
        <f t="shared" si="0"/>
        <v>495.0849</v>
      </c>
      <c r="T19" s="1">
        <f t="shared" si="0"/>
        <v>501.98200000000003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5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-1.978</v>
      </c>
      <c r="G29" s="1">
        <v>-0.18329999999999999</v>
      </c>
      <c r="H29" s="1">
        <v>-0.93700000000000006</v>
      </c>
      <c r="I29" s="1">
        <v>-2.84</v>
      </c>
      <c r="J29" s="1">
        <v>-2.9024999999999999</v>
      </c>
      <c r="K29" s="1">
        <v>-2.9649999999999999</v>
      </c>
      <c r="L29" s="1">
        <v>-1.9370000000000001</v>
      </c>
      <c r="M29" s="1">
        <v>-1.8759999999999999</v>
      </c>
      <c r="N29" s="1">
        <v>-0.62040000000000006</v>
      </c>
      <c r="O29" s="1">
        <v>-1.8612</v>
      </c>
      <c r="P29" s="1">
        <v>-3.1021000000000001</v>
      </c>
      <c r="Q29" s="1">
        <v>-4.3428000000000004</v>
      </c>
      <c r="R29" s="1">
        <v>-5.5837000000000003</v>
      </c>
      <c r="S29" s="1">
        <v>0</v>
      </c>
      <c r="T29" s="1">
        <v>0</v>
      </c>
    </row>
    <row r="30" spans="2:20" x14ac:dyDescent="0.25">
      <c r="B30" t="s">
        <v>10</v>
      </c>
      <c r="C30" s="1"/>
      <c r="D30" s="1"/>
      <c r="E30" s="1">
        <v>0</v>
      </c>
      <c r="F30" s="1">
        <v>0</v>
      </c>
      <c r="G30" s="1">
        <v>0.48099999999999998</v>
      </c>
      <c r="H30" s="1">
        <v>2.33</v>
      </c>
      <c r="I30" s="1">
        <v>4.49</v>
      </c>
      <c r="J30" s="1">
        <v>1.77</v>
      </c>
      <c r="K30" s="1">
        <v>4.53</v>
      </c>
      <c r="L30" s="1">
        <v>1.17</v>
      </c>
      <c r="M30" s="1">
        <v>1.103</v>
      </c>
      <c r="N30" s="1">
        <v>2.7772999999999999</v>
      </c>
      <c r="O30" s="1">
        <v>2.0886</v>
      </c>
      <c r="P30" s="1">
        <v>2.3260999999999998</v>
      </c>
      <c r="Q30" s="1">
        <v>1.9262999999999999</v>
      </c>
      <c r="R30" s="1">
        <v>1.5262</v>
      </c>
      <c r="S30" s="1">
        <v>1.6264000000000001</v>
      </c>
      <c r="T30" s="1">
        <v>1.5261</v>
      </c>
    </row>
    <row r="31" spans="2:20" x14ac:dyDescent="0.25">
      <c r="B31" t="s">
        <v>11</v>
      </c>
      <c r="C31" s="1"/>
      <c r="D31" s="1"/>
      <c r="E31" s="1">
        <v>0</v>
      </c>
      <c r="F31" s="1">
        <v>1.4999999999999999E-2</v>
      </c>
      <c r="G31" s="1">
        <v>0.01</v>
      </c>
      <c r="H31" s="1">
        <v>0.01</v>
      </c>
      <c r="I31" s="1">
        <v>0</v>
      </c>
      <c r="J31" s="1">
        <v>4.8999999999999998E-3</v>
      </c>
      <c r="K31" s="1">
        <v>0.01</v>
      </c>
      <c r="L31" s="1">
        <v>0.01</v>
      </c>
      <c r="M31" s="1">
        <v>0.01</v>
      </c>
      <c r="N31" s="1">
        <v>0.01</v>
      </c>
      <c r="O31" s="1">
        <v>0.01</v>
      </c>
      <c r="P31" s="1">
        <v>0.01</v>
      </c>
      <c r="Q31" s="1">
        <v>0.01</v>
      </c>
      <c r="R31" s="1">
        <v>0.01</v>
      </c>
      <c r="S31" s="1">
        <v>0.01</v>
      </c>
      <c r="T31" s="1">
        <v>0.01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0.4</v>
      </c>
      <c r="R32" s="1">
        <v>0.2</v>
      </c>
      <c r="S32" s="1">
        <v>0.2</v>
      </c>
      <c r="T32" s="1">
        <v>0.4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2:20" x14ac:dyDescent="0.25">
      <c r="B34" t="s">
        <v>14</v>
      </c>
      <c r="C34" s="1"/>
      <c r="D34" s="1"/>
      <c r="E34" s="1">
        <v>0</v>
      </c>
      <c r="F34" s="1">
        <v>-0.1173</v>
      </c>
      <c r="G34" s="1">
        <v>-0.1173</v>
      </c>
      <c r="H34" s="1">
        <v>-0.1174</v>
      </c>
      <c r="I34" s="1">
        <v>-0.1173</v>
      </c>
      <c r="J34" s="1">
        <v>-5.8599999999999999E-2</v>
      </c>
      <c r="K34" s="1">
        <v>0</v>
      </c>
      <c r="L34" s="1">
        <v>-0.7722</v>
      </c>
      <c r="M34" s="1">
        <v>-0.5373</v>
      </c>
      <c r="N34" s="1">
        <v>-2.8E-3</v>
      </c>
      <c r="O34" s="1">
        <v>-1.4E-3</v>
      </c>
      <c r="P34" s="1">
        <v>0</v>
      </c>
      <c r="Q34" s="1">
        <v>0</v>
      </c>
      <c r="R34" s="1">
        <v>-0.2</v>
      </c>
      <c r="S34" s="1">
        <v>0</v>
      </c>
      <c r="T34" s="1">
        <v>0</v>
      </c>
    </row>
    <row r="35" spans="2:20" x14ac:dyDescent="0.25">
      <c r="B35" t="s">
        <v>15</v>
      </c>
      <c r="C35" s="1"/>
      <c r="D35" s="1"/>
      <c r="E35" s="1">
        <v>0</v>
      </c>
      <c r="F35" s="1">
        <v>0.16930000000000001</v>
      </c>
      <c r="G35" s="1">
        <v>0.22189999999999999</v>
      </c>
      <c r="H35" s="1">
        <v>4.1099999999999998E-2</v>
      </c>
      <c r="I35" s="1">
        <v>-0.2828</v>
      </c>
      <c r="J35" s="1">
        <v>-4.1399999999999999E-2</v>
      </c>
      <c r="K35" s="1">
        <v>0.2</v>
      </c>
      <c r="L35" s="1">
        <v>0.20499999999999999</v>
      </c>
      <c r="M35" s="1">
        <v>0.2</v>
      </c>
      <c r="N35" s="1">
        <v>0.20499999999999999</v>
      </c>
      <c r="O35" s="1">
        <v>0.2281</v>
      </c>
      <c r="P35" s="1">
        <v>0.25119999999999998</v>
      </c>
      <c r="Q35" s="1">
        <v>0.24629999999999999</v>
      </c>
      <c r="R35" s="1">
        <v>0.25119999999999998</v>
      </c>
      <c r="S35" s="1">
        <v>0.24629999999999999</v>
      </c>
      <c r="T35" s="1">
        <v>0.2462</v>
      </c>
    </row>
    <row r="36" spans="2:20" x14ac:dyDescent="0.25">
      <c r="B36" t="s">
        <v>16</v>
      </c>
      <c r="C36" s="1"/>
      <c r="D36" s="1"/>
      <c r="E36" s="1">
        <v>0</v>
      </c>
      <c r="F36" s="1">
        <v>17.745899999999999</v>
      </c>
      <c r="G36" s="1">
        <v>15.457100000000001</v>
      </c>
      <c r="H36" s="1">
        <v>14.0663</v>
      </c>
      <c r="I36" s="1">
        <v>13.3047</v>
      </c>
      <c r="J36" s="1">
        <v>12.5932</v>
      </c>
      <c r="K36" s="1">
        <v>11.881600000000001</v>
      </c>
      <c r="L36" s="1">
        <v>6.2610000000000001</v>
      </c>
      <c r="M36" s="1">
        <v>6.4345999999999997</v>
      </c>
      <c r="N36" s="1">
        <v>8.5441000000000003</v>
      </c>
      <c r="O36" s="1">
        <v>6.2034000000000002</v>
      </c>
      <c r="P36" s="1">
        <v>3.8628</v>
      </c>
      <c r="Q36" s="1">
        <v>5.4959000000000007</v>
      </c>
      <c r="R36" s="1">
        <v>5.1233000000000004</v>
      </c>
      <c r="S36" s="1">
        <v>4.5990000000000002</v>
      </c>
      <c r="T36" s="1">
        <v>3.8155999999999999</v>
      </c>
    </row>
    <row r="37" spans="2:20" x14ac:dyDescent="0.25">
      <c r="B37" t="s">
        <v>17</v>
      </c>
      <c r="C37" s="1"/>
      <c r="D37" s="1"/>
      <c r="E37" s="1">
        <v>0</v>
      </c>
      <c r="F37" s="1">
        <v>1.59</v>
      </c>
      <c r="G37" s="1">
        <v>0.98</v>
      </c>
      <c r="H37" s="1">
        <v>2.5499999999999998</v>
      </c>
      <c r="I37" s="1">
        <v>1.38</v>
      </c>
      <c r="J37" s="1">
        <v>0.34</v>
      </c>
      <c r="K37" s="1">
        <v>2.61</v>
      </c>
      <c r="L37" s="1">
        <v>2.72</v>
      </c>
      <c r="M37" s="1">
        <v>3.18</v>
      </c>
      <c r="N37" s="1">
        <v>2.5</v>
      </c>
      <c r="O37" s="1">
        <v>2.5</v>
      </c>
      <c r="P37" s="1">
        <v>1.5</v>
      </c>
      <c r="Q37" s="1">
        <v>1.4995000000000001</v>
      </c>
      <c r="R37" s="1">
        <v>1.4991000000000001</v>
      </c>
      <c r="S37" s="1">
        <v>1.498</v>
      </c>
      <c r="T37" s="1">
        <v>0.99860000000000004</v>
      </c>
    </row>
    <row r="38" spans="2:20" x14ac:dyDescent="0.25">
      <c r="B38" t="s">
        <v>18</v>
      </c>
      <c r="C38" s="1"/>
      <c r="D38" s="1"/>
      <c r="E38" s="1">
        <v>0</v>
      </c>
      <c r="F38" s="1">
        <v>6.92</v>
      </c>
      <c r="G38" s="1">
        <v>9.5299999999999994</v>
      </c>
      <c r="H38" s="1">
        <v>10.84</v>
      </c>
      <c r="I38" s="1">
        <v>8.5399999999999991</v>
      </c>
      <c r="J38" s="1">
        <v>7.0750000000000002</v>
      </c>
      <c r="K38" s="1">
        <v>5.61</v>
      </c>
      <c r="L38" s="1">
        <v>2.36</v>
      </c>
      <c r="M38" s="1">
        <v>2.41</v>
      </c>
      <c r="N38" s="1">
        <v>2.4300000000000002</v>
      </c>
      <c r="O38" s="1">
        <v>2.1013000000000002</v>
      </c>
      <c r="P38" s="1">
        <v>1.8938999999999999</v>
      </c>
      <c r="Q38" s="1">
        <v>1.3227</v>
      </c>
      <c r="R38" s="1">
        <v>0.76729999999999998</v>
      </c>
      <c r="S38" s="1">
        <v>9.9199999999999997E-2</v>
      </c>
      <c r="T38" s="1">
        <v>-9.9400000000000002E-2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24.344900000000003</v>
      </c>
      <c r="G39" s="1">
        <f t="shared" si="1"/>
        <v>26.379399999999997</v>
      </c>
      <c r="H39" s="1">
        <f t="shared" si="1"/>
        <v>28.783000000000001</v>
      </c>
      <c r="I39" s="1">
        <f t="shared" si="1"/>
        <v>24.474599999999999</v>
      </c>
      <c r="J39" s="1">
        <f t="shared" si="1"/>
        <v>18.7806</v>
      </c>
      <c r="K39" s="1">
        <f t="shared" si="1"/>
        <v>21.8766</v>
      </c>
      <c r="L39" s="1">
        <f t="shared" si="1"/>
        <v>10.0168</v>
      </c>
      <c r="M39" s="1">
        <f t="shared" si="1"/>
        <v>10.924300000000001</v>
      </c>
      <c r="N39" s="1">
        <f t="shared" si="1"/>
        <v>15.8432</v>
      </c>
      <c r="O39" s="1">
        <f t="shared" si="1"/>
        <v>11.268800000000001</v>
      </c>
      <c r="P39" s="1">
        <f t="shared" si="1"/>
        <v>6.7418999999999993</v>
      </c>
      <c r="Q39" s="1">
        <f t="shared" si="1"/>
        <v>6.5579000000000001</v>
      </c>
      <c r="R39" s="1">
        <f t="shared" si="1"/>
        <v>3.5934000000000004</v>
      </c>
      <c r="S39" s="1">
        <f t="shared" si="1"/>
        <v>8.2789000000000001</v>
      </c>
      <c r="T39" s="1">
        <f t="shared" si="1"/>
        <v>6.8970999999999991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5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</v>
      </c>
      <c r="F49" s="1">
        <v>1.978</v>
      </c>
      <c r="G49" s="1">
        <v>0.18329999999999999</v>
      </c>
      <c r="H49" s="1">
        <v>0.93700000000000006</v>
      </c>
      <c r="I49" s="1">
        <v>2.84</v>
      </c>
      <c r="J49" s="1">
        <v>2.9024999999999999</v>
      </c>
      <c r="K49" s="1">
        <v>2.9649999999999999</v>
      </c>
      <c r="L49" s="1">
        <v>1.9370000000000001</v>
      </c>
      <c r="M49" s="1">
        <v>1.8759999999999999</v>
      </c>
      <c r="N49" s="1">
        <v>0.62040000000000006</v>
      </c>
      <c r="O49" s="1">
        <v>1.8612</v>
      </c>
      <c r="P49" s="1">
        <v>3.1021000000000001</v>
      </c>
      <c r="Q49" s="1">
        <v>4.3428000000000004</v>
      </c>
      <c r="R49" s="1">
        <v>0</v>
      </c>
      <c r="S49" s="1">
        <v>0</v>
      </c>
      <c r="T49" s="1">
        <v>0</v>
      </c>
    </row>
    <row r="50" spans="2:20" x14ac:dyDescent="0.25">
      <c r="B50" t="s">
        <v>10</v>
      </c>
      <c r="C50" s="1"/>
      <c r="D50" s="1"/>
      <c r="E50" s="1">
        <v>1.9E-2</v>
      </c>
      <c r="F50" s="1">
        <v>0.45029999999999998</v>
      </c>
      <c r="G50" s="1">
        <v>0.25919999999999999</v>
      </c>
      <c r="H50" s="1">
        <v>1.1791</v>
      </c>
      <c r="I50" s="1">
        <v>1.131</v>
      </c>
      <c r="J50" s="1">
        <v>1.2697000000000001</v>
      </c>
      <c r="K50" s="1">
        <v>1.5783</v>
      </c>
      <c r="L50" s="1">
        <v>0.64600000000000002</v>
      </c>
      <c r="M50" s="1">
        <v>0.1812</v>
      </c>
      <c r="N50" s="1">
        <v>0.13089999999999999</v>
      </c>
      <c r="O50" s="1">
        <v>0.98809999999999998</v>
      </c>
      <c r="P50" s="1">
        <v>3.0472000000000001</v>
      </c>
      <c r="Q50" s="1">
        <v>1.1970000000000001</v>
      </c>
      <c r="R50" s="1">
        <v>1.1593</v>
      </c>
      <c r="S50" s="1">
        <v>0.19969999999999999</v>
      </c>
      <c r="T50" s="1">
        <v>1.708</v>
      </c>
    </row>
    <row r="51" spans="2:20" x14ac:dyDescent="0.25">
      <c r="B51" t="s">
        <v>11</v>
      </c>
      <c r="C51" s="1"/>
      <c r="D51" s="1"/>
      <c r="E51" s="1">
        <v>6.4000000000000003E-3</v>
      </c>
      <c r="F51" s="1">
        <v>0</v>
      </c>
      <c r="G51" s="1">
        <v>0</v>
      </c>
      <c r="H51" s="1">
        <v>5.0000000000000001E-4</v>
      </c>
      <c r="I51" s="1">
        <v>5.5999999999999999E-3</v>
      </c>
      <c r="J51" s="1">
        <v>7.6E-3</v>
      </c>
      <c r="K51" s="1">
        <v>0.1041</v>
      </c>
      <c r="L51" s="1">
        <v>1.24E-2</v>
      </c>
      <c r="M51" s="1">
        <v>9.1999999999999998E-3</v>
      </c>
      <c r="N51" s="1">
        <v>0.15809999999999999</v>
      </c>
      <c r="O51" s="1">
        <v>3.7699999999999997E-2</v>
      </c>
      <c r="P51" s="1">
        <v>1.7000000000000001E-2</v>
      </c>
      <c r="Q51" s="1">
        <v>3.9399999999999998E-2</v>
      </c>
      <c r="R51" s="1">
        <v>1.29E-2</v>
      </c>
      <c r="S51" s="1">
        <v>1.5900000000000001E-2</v>
      </c>
      <c r="T51" s="1">
        <v>9.11E-2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2:20" x14ac:dyDescent="0.25">
      <c r="B54" t="s">
        <v>14</v>
      </c>
      <c r="C54" s="1"/>
      <c r="D54" s="1"/>
      <c r="E54" s="1">
        <v>0</v>
      </c>
      <c r="F54" s="1">
        <v>0.1173</v>
      </c>
      <c r="G54" s="1">
        <v>0.1173</v>
      </c>
      <c r="H54" s="1">
        <v>0.1174</v>
      </c>
      <c r="I54" s="1">
        <v>0.1173</v>
      </c>
      <c r="J54" s="1">
        <v>5.8599999999999999E-2</v>
      </c>
      <c r="K54" s="1">
        <v>0.82199999999999995</v>
      </c>
      <c r="L54" s="1">
        <v>0.7722</v>
      </c>
      <c r="M54" s="1">
        <v>0.5373</v>
      </c>
      <c r="N54" s="1">
        <v>2.8E-3</v>
      </c>
      <c r="O54" s="1">
        <v>1.4E-3</v>
      </c>
      <c r="P54" s="1">
        <v>0.10100000000000001</v>
      </c>
      <c r="Q54" s="1">
        <v>2.3199999999999998E-2</v>
      </c>
      <c r="R54" s="1">
        <v>0.2</v>
      </c>
      <c r="S54" s="1">
        <v>0.24640000000000001</v>
      </c>
      <c r="T54" s="1">
        <v>0</v>
      </c>
    </row>
    <row r="55" spans="2:20" x14ac:dyDescent="0.25">
      <c r="B55" t="s">
        <v>15</v>
      </c>
      <c r="C55" s="1"/>
      <c r="D55" s="1"/>
      <c r="E55" s="1">
        <v>1.18E-2</v>
      </c>
      <c r="F55" s="1">
        <v>8.3699999999999997E-2</v>
      </c>
      <c r="G55" s="1">
        <v>8.0000000000000002E-3</v>
      </c>
      <c r="H55" s="1">
        <v>1.2999999999999999E-2</v>
      </c>
      <c r="I55" s="1">
        <v>0.28310000000000002</v>
      </c>
      <c r="J55" s="1">
        <v>4.1700000000000001E-2</v>
      </c>
      <c r="K55" s="1">
        <v>0.20219999999999999</v>
      </c>
      <c r="L55" s="1">
        <v>1.14E-2</v>
      </c>
      <c r="M55" s="1">
        <v>0.14560000000000001</v>
      </c>
      <c r="N55" s="1">
        <v>0.17050000000000001</v>
      </c>
      <c r="O55" s="1">
        <v>0.1129</v>
      </c>
      <c r="P55" s="1">
        <v>0.28610000000000002</v>
      </c>
      <c r="Q55" s="1">
        <v>7.2599999999999998E-2</v>
      </c>
      <c r="R55" s="1">
        <v>7.5800000000000006E-2</v>
      </c>
      <c r="S55" s="1">
        <v>0.28079999999999999</v>
      </c>
      <c r="T55" s="1">
        <v>5.2499999999999998E-2</v>
      </c>
    </row>
    <row r="56" spans="2:20" x14ac:dyDescent="0.25">
      <c r="B56" t="s">
        <v>16</v>
      </c>
      <c r="C56" s="1"/>
      <c r="D56" s="1"/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1.5E-3</v>
      </c>
      <c r="M56" s="1">
        <v>0</v>
      </c>
      <c r="N56" s="1">
        <v>0</v>
      </c>
      <c r="O56" s="1">
        <v>0</v>
      </c>
      <c r="P56" s="1">
        <v>0</v>
      </c>
      <c r="Q56" s="1">
        <v>9.4000000000000004E-3</v>
      </c>
      <c r="R56" s="1">
        <v>7.2900000000000006E-2</v>
      </c>
      <c r="S56" s="1">
        <v>8.4199999999999997E-2</v>
      </c>
      <c r="T56" s="1">
        <v>0</v>
      </c>
    </row>
    <row r="57" spans="2:20" x14ac:dyDescent="0.25">
      <c r="B57" t="s">
        <v>17</v>
      </c>
      <c r="C57" s="1"/>
      <c r="D57" s="1"/>
      <c r="E57" s="1">
        <v>0</v>
      </c>
      <c r="F57" s="1">
        <v>0</v>
      </c>
      <c r="G57" s="1">
        <v>0</v>
      </c>
      <c r="H57" s="1">
        <v>0</v>
      </c>
      <c r="I57" s="1">
        <v>6.0400000000000002E-2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2:20" x14ac:dyDescent="0.25">
      <c r="B58" t="s">
        <v>18</v>
      </c>
      <c r="C58" s="1"/>
      <c r="D58" s="1"/>
      <c r="E58" s="1">
        <v>0.66659999999999997</v>
      </c>
      <c r="F58" s="1">
        <v>0.85850000000000004</v>
      </c>
      <c r="G58" s="1">
        <v>1.0633999999999999</v>
      </c>
      <c r="H58" s="1">
        <v>1.2603</v>
      </c>
      <c r="I58" s="1">
        <v>1.4260999999999999</v>
      </c>
      <c r="J58" s="1">
        <v>1.5427999999999999</v>
      </c>
      <c r="K58" s="1">
        <v>1.6024</v>
      </c>
      <c r="L58" s="1">
        <v>1.6086</v>
      </c>
      <c r="M58" s="1">
        <v>1.575</v>
      </c>
      <c r="N58" s="1">
        <v>1.5196000000000001</v>
      </c>
      <c r="O58" s="1">
        <v>1.5196000000000001</v>
      </c>
      <c r="P58" s="1">
        <v>1.5196000000000001</v>
      </c>
      <c r="Q58" s="1">
        <v>1.5196000000000001</v>
      </c>
      <c r="R58" s="1">
        <v>1.5196000000000001</v>
      </c>
      <c r="S58" s="1">
        <v>1.5196000000000001</v>
      </c>
      <c r="T58" s="1">
        <v>9.9400000000000002E-2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0.70379999999999998</v>
      </c>
      <c r="F59" s="1">
        <f t="shared" si="2"/>
        <v>3.4878</v>
      </c>
      <c r="G59" s="1">
        <f t="shared" si="2"/>
        <v>1.6311999999999998</v>
      </c>
      <c r="H59" s="1">
        <f t="shared" si="2"/>
        <v>3.5073000000000003</v>
      </c>
      <c r="I59" s="1">
        <f t="shared" si="2"/>
        <v>5.8634999999999993</v>
      </c>
      <c r="J59" s="1">
        <f t="shared" si="2"/>
        <v>5.8228999999999997</v>
      </c>
      <c r="K59" s="1">
        <f t="shared" si="2"/>
        <v>7.2740000000000009</v>
      </c>
      <c r="L59" s="1">
        <f t="shared" si="2"/>
        <v>4.9891000000000005</v>
      </c>
      <c r="M59" s="1">
        <f t="shared" si="2"/>
        <v>4.3243</v>
      </c>
      <c r="N59" s="1">
        <f t="shared" si="2"/>
        <v>2.6023000000000005</v>
      </c>
      <c r="O59" s="1">
        <f t="shared" si="2"/>
        <v>4.5208999999999993</v>
      </c>
      <c r="P59" s="1">
        <f t="shared" si="2"/>
        <v>8.0730000000000004</v>
      </c>
      <c r="Q59" s="1">
        <f t="shared" si="2"/>
        <v>7.2040000000000006</v>
      </c>
      <c r="R59" s="1">
        <f t="shared" si="2"/>
        <v>3.0404999999999998</v>
      </c>
      <c r="S59" s="1">
        <f t="shared" si="2"/>
        <v>2.3466</v>
      </c>
      <c r="T59" s="1">
        <f t="shared" si="2"/>
        <v>1.9509999999999998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5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0.45029999999999998</v>
      </c>
      <c r="G70" s="1">
        <v>0.74019999999999997</v>
      </c>
      <c r="H70" s="1">
        <v>3.5091000000000001</v>
      </c>
      <c r="I70" s="1">
        <v>5.6210000000000004</v>
      </c>
      <c r="J70" s="1">
        <v>3.0396999999999998</v>
      </c>
      <c r="K70" s="1">
        <v>6.1082999999999998</v>
      </c>
      <c r="L70" s="1">
        <v>1.8160000000000001</v>
      </c>
      <c r="M70" s="1">
        <v>1.2842</v>
      </c>
      <c r="N70" s="1">
        <v>2.9081999999999999</v>
      </c>
      <c r="O70" s="1">
        <v>3.0767000000000002</v>
      </c>
      <c r="P70" s="1">
        <v>5.3733000000000004</v>
      </c>
      <c r="Q70" s="1">
        <v>3.1232000000000002</v>
      </c>
      <c r="R70" s="1">
        <v>2.6855000000000002</v>
      </c>
      <c r="S70" s="1">
        <v>1.8261000000000001</v>
      </c>
      <c r="T70" s="1">
        <v>3.2341000000000002</v>
      </c>
    </row>
    <row r="71" spans="2:20" x14ac:dyDescent="0.25">
      <c r="B71" t="s">
        <v>11</v>
      </c>
      <c r="C71" s="1"/>
      <c r="D71" s="1"/>
      <c r="E71" s="1">
        <v>0</v>
      </c>
      <c r="F71" s="1">
        <v>1.4999999999999999E-2</v>
      </c>
      <c r="G71" s="1">
        <v>0.01</v>
      </c>
      <c r="H71" s="1">
        <v>1.0500000000000001E-2</v>
      </c>
      <c r="I71" s="1">
        <v>5.5999999999999999E-3</v>
      </c>
      <c r="J71" s="1">
        <v>1.2500000000000001E-2</v>
      </c>
      <c r="K71" s="1">
        <v>0.11409999999999999</v>
      </c>
      <c r="L71" s="1">
        <v>2.24E-2</v>
      </c>
      <c r="M71" s="1">
        <v>1.9199999999999998E-2</v>
      </c>
      <c r="N71" s="1">
        <v>0.1681</v>
      </c>
      <c r="O71" s="1">
        <v>4.7699999999999999E-2</v>
      </c>
      <c r="P71" s="1">
        <v>2.7E-2</v>
      </c>
      <c r="Q71" s="1">
        <v>4.9399999999999999E-2</v>
      </c>
      <c r="R71" s="1">
        <v>2.29E-2</v>
      </c>
      <c r="S71" s="1">
        <v>2.5899999999999999E-2</v>
      </c>
      <c r="T71" s="1">
        <v>0.1011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0.4</v>
      </c>
      <c r="R72" s="1">
        <v>0.2</v>
      </c>
      <c r="S72" s="1">
        <v>0.2</v>
      </c>
      <c r="T72" s="1">
        <v>0.4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2:20" x14ac:dyDescent="0.25">
      <c r="B74" t="s">
        <v>14</v>
      </c>
      <c r="C74" s="1"/>
      <c r="D74" s="1"/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0.82199999999999995</v>
      </c>
      <c r="L74" s="1">
        <v>0</v>
      </c>
      <c r="M74" s="1">
        <v>0</v>
      </c>
      <c r="N74" s="1">
        <v>0</v>
      </c>
      <c r="O74" s="1">
        <v>0</v>
      </c>
      <c r="P74" s="1">
        <v>0.10100000000000001</v>
      </c>
      <c r="Q74" s="1">
        <v>2.3199999999999998E-2</v>
      </c>
      <c r="R74" s="1">
        <v>0</v>
      </c>
      <c r="S74" s="1">
        <v>0.24640000000000001</v>
      </c>
      <c r="T74" s="1">
        <v>0</v>
      </c>
    </row>
    <row r="75" spans="2:20" x14ac:dyDescent="0.25">
      <c r="B75" t="s">
        <v>15</v>
      </c>
      <c r="C75" s="1"/>
      <c r="D75" s="1"/>
      <c r="E75" s="1">
        <v>0</v>
      </c>
      <c r="F75" s="1">
        <v>0.253</v>
      </c>
      <c r="G75" s="1">
        <v>0.22989999999999999</v>
      </c>
      <c r="H75" s="1">
        <v>5.4100000000000002E-2</v>
      </c>
      <c r="I75" s="1">
        <v>2.9999999999999997E-4</v>
      </c>
      <c r="J75" s="1">
        <v>2.9999999999999997E-4</v>
      </c>
      <c r="K75" s="1">
        <v>0.4022</v>
      </c>
      <c r="L75" s="1">
        <v>0.21640000000000001</v>
      </c>
      <c r="M75" s="1">
        <v>0.34560000000000002</v>
      </c>
      <c r="N75" s="1">
        <v>0.3755</v>
      </c>
      <c r="O75" s="1">
        <v>0.34100000000000003</v>
      </c>
      <c r="P75" s="1">
        <v>0.5373</v>
      </c>
      <c r="Q75" s="1">
        <v>0.31890000000000002</v>
      </c>
      <c r="R75" s="1">
        <v>0.32700000000000001</v>
      </c>
      <c r="S75" s="1">
        <v>0.5270999999999999</v>
      </c>
      <c r="T75" s="1">
        <v>0.29859999999999998</v>
      </c>
    </row>
    <row r="76" spans="2:20" x14ac:dyDescent="0.25">
      <c r="B76" t="s">
        <v>16</v>
      </c>
      <c r="C76" s="1"/>
      <c r="D76" s="1"/>
      <c r="E76" s="1">
        <v>0</v>
      </c>
      <c r="F76" s="1">
        <v>17.745899999999999</v>
      </c>
      <c r="G76" s="1">
        <v>15.457100000000001</v>
      </c>
      <c r="H76" s="1">
        <v>14.0663</v>
      </c>
      <c r="I76" s="1">
        <v>13.3047</v>
      </c>
      <c r="J76" s="1">
        <v>12.5932</v>
      </c>
      <c r="K76" s="1">
        <v>11.881600000000001</v>
      </c>
      <c r="L76" s="1">
        <v>6.2625000000000002</v>
      </c>
      <c r="M76" s="1">
        <v>6.4345999999999997</v>
      </c>
      <c r="N76" s="1">
        <v>8.5441000000000003</v>
      </c>
      <c r="O76" s="1">
        <v>6.2034000000000002</v>
      </c>
      <c r="P76" s="1">
        <v>3.8628</v>
      </c>
      <c r="Q76" s="1">
        <v>5.5053000000000001</v>
      </c>
      <c r="R76" s="1">
        <v>5.1962000000000002</v>
      </c>
      <c r="S76" s="1">
        <v>4.6831999999999994</v>
      </c>
      <c r="T76" s="1">
        <v>3.8155999999999999</v>
      </c>
    </row>
    <row r="77" spans="2:20" x14ac:dyDescent="0.25">
      <c r="B77" t="s">
        <v>17</v>
      </c>
      <c r="C77" s="1"/>
      <c r="D77" s="1"/>
      <c r="E77" s="1">
        <v>0</v>
      </c>
      <c r="F77" s="1">
        <v>1.59</v>
      </c>
      <c r="G77" s="1">
        <v>0.98</v>
      </c>
      <c r="H77" s="1">
        <v>2.5499999999999998</v>
      </c>
      <c r="I77" s="1">
        <v>1.4403999999999999</v>
      </c>
      <c r="J77" s="1">
        <v>0.34</v>
      </c>
      <c r="K77" s="1">
        <v>2.61</v>
      </c>
      <c r="L77" s="1">
        <v>2.72</v>
      </c>
      <c r="M77" s="1">
        <v>3.18</v>
      </c>
      <c r="N77" s="1">
        <v>2.5</v>
      </c>
      <c r="O77" s="1">
        <v>2.5</v>
      </c>
      <c r="P77" s="1">
        <v>1.5</v>
      </c>
      <c r="Q77" s="1">
        <v>1.4995000000000001</v>
      </c>
      <c r="R77" s="1">
        <v>1.4991000000000001</v>
      </c>
      <c r="S77" s="1">
        <v>1.498</v>
      </c>
      <c r="T77" s="1">
        <v>0.99860000000000004</v>
      </c>
    </row>
    <row r="78" spans="2:20" x14ac:dyDescent="0.25">
      <c r="B78" t="s">
        <v>18</v>
      </c>
      <c r="C78" s="1"/>
      <c r="D78" s="1"/>
      <c r="E78" s="1">
        <v>0</v>
      </c>
      <c r="F78" s="1">
        <v>7.7785000000000002</v>
      </c>
      <c r="G78" s="1">
        <v>10.593400000000001</v>
      </c>
      <c r="H78" s="1">
        <v>12.100199999999999</v>
      </c>
      <c r="I78" s="1">
        <v>9.9661000000000008</v>
      </c>
      <c r="J78" s="1">
        <v>8.6178000000000008</v>
      </c>
      <c r="K78" s="1">
        <v>7.2122999999999999</v>
      </c>
      <c r="L78" s="1">
        <v>3.9685999999999999</v>
      </c>
      <c r="M78" s="1">
        <v>3.9849999999999999</v>
      </c>
      <c r="N78" s="1">
        <v>3.9496000000000002</v>
      </c>
      <c r="O78" s="1">
        <v>3.6208999999999998</v>
      </c>
      <c r="P78" s="1">
        <v>3.4135</v>
      </c>
      <c r="Q78" s="1">
        <v>2.8422999999999998</v>
      </c>
      <c r="R78" s="1">
        <v>2.2869000000000002</v>
      </c>
      <c r="S78" s="1">
        <v>1.6188</v>
      </c>
      <c r="T78" s="1">
        <v>0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27.832699999999999</v>
      </c>
      <c r="G79" s="1">
        <f t="shared" si="3"/>
        <v>28.010600000000004</v>
      </c>
      <c r="H79" s="1">
        <f t="shared" si="3"/>
        <v>32.290199999999999</v>
      </c>
      <c r="I79" s="1">
        <f t="shared" si="3"/>
        <v>30.338100000000004</v>
      </c>
      <c r="J79" s="1">
        <f t="shared" si="3"/>
        <v>24.6035</v>
      </c>
      <c r="K79" s="1">
        <f t="shared" si="3"/>
        <v>29.150499999999997</v>
      </c>
      <c r="L79" s="1">
        <f t="shared" si="3"/>
        <v>15.0059</v>
      </c>
      <c r="M79" s="1">
        <f t="shared" si="3"/>
        <v>15.2486</v>
      </c>
      <c r="N79" s="1">
        <f t="shared" si="3"/>
        <v>18.445500000000003</v>
      </c>
      <c r="O79" s="1">
        <f t="shared" si="3"/>
        <v>15.7897</v>
      </c>
      <c r="P79" s="1">
        <f t="shared" si="3"/>
        <v>14.814900000000002</v>
      </c>
      <c r="Q79" s="1">
        <f t="shared" si="3"/>
        <v>13.761799999999999</v>
      </c>
      <c r="R79" s="1">
        <f t="shared" si="3"/>
        <v>12.217600000000001</v>
      </c>
      <c r="S79" s="1">
        <f t="shared" si="3"/>
        <v>10.625499999999999</v>
      </c>
      <c r="T79" s="1">
        <f t="shared" si="3"/>
        <v>8.8480000000000008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28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>
        <v>3.7747053159999511</v>
      </c>
      <c r="G9" s="5">
        <f>(F9+H9)/2</f>
        <v>3.5888290549999482</v>
      </c>
      <c r="H9" s="1">
        <v>3.4029527939999449</v>
      </c>
      <c r="I9" s="5">
        <f>(H9+J9)/2</f>
        <v>3.3010243449999463</v>
      </c>
      <c r="J9" s="1">
        <v>3.1990958959999478</v>
      </c>
      <c r="K9" s="5">
        <f>(J9+L9)/2</f>
        <v>3.2021502819999474</v>
      </c>
      <c r="L9" s="1">
        <v>3.2052046679999471</v>
      </c>
      <c r="M9" s="5">
        <f>(L9+N9)/2</f>
        <v>3.1517130419999906</v>
      </c>
      <c r="N9" s="1">
        <v>3.0982214160000341</v>
      </c>
      <c r="O9" s="5">
        <f>(N9+P9)/2</f>
        <v>2.6097432330000148</v>
      </c>
      <c r="P9" s="1">
        <v>2.121265049999995</v>
      </c>
      <c r="Q9" s="1"/>
      <c r="R9" s="1"/>
      <c r="S9" s="1"/>
      <c r="T9" s="1"/>
    </row>
    <row r="10" spans="2:20" x14ac:dyDescent="0.25">
      <c r="B10" t="s">
        <v>10</v>
      </c>
      <c r="C10" s="1"/>
      <c r="D10" s="1"/>
      <c r="E10" s="1"/>
      <c r="F10" s="1">
        <v>102.1568612880003</v>
      </c>
      <c r="G10" s="5">
        <f>(F10+H10)/2</f>
        <v>99.360109009999888</v>
      </c>
      <c r="H10" s="1">
        <v>96.563356731999491</v>
      </c>
      <c r="I10" s="5">
        <f>(H10+J10)/2</f>
        <v>100.40200407499935</v>
      </c>
      <c r="J10" s="1">
        <v>104.2406514179992</v>
      </c>
      <c r="K10" s="5">
        <f>(J10+L10)/2</f>
        <v>103.37508056000004</v>
      </c>
      <c r="L10" s="1">
        <v>102.5095097020009</v>
      </c>
      <c r="M10" s="5">
        <f>(L10+N10)/2</f>
        <v>102.8586025500006</v>
      </c>
      <c r="N10" s="1">
        <v>103.2076953980003</v>
      </c>
      <c r="O10" s="5">
        <f>(N10+P10)/2</f>
        <v>103.57107581400081</v>
      </c>
      <c r="P10" s="1">
        <v>103.9344562300013</v>
      </c>
      <c r="Q10" s="5">
        <f>(P10+R10)/2</f>
        <v>102.67735306000091</v>
      </c>
      <c r="R10" s="1">
        <v>101.42024989000051</v>
      </c>
      <c r="S10" s="5">
        <f>(R10+T10)/2</f>
        <v>99.938819027000477</v>
      </c>
      <c r="T10" s="1">
        <v>98.457388164000463</v>
      </c>
    </row>
    <row r="11" spans="2:20" x14ac:dyDescent="0.25">
      <c r="B11" t="s">
        <v>11</v>
      </c>
      <c r="C11" s="1"/>
      <c r="D11" s="1"/>
      <c r="E11" s="1"/>
      <c r="F11" s="1">
        <v>49.048618341999969</v>
      </c>
      <c r="G11" s="5">
        <f>(F11+H11)/2</f>
        <v>49.228578693999964</v>
      </c>
      <c r="H11" s="1">
        <v>49.408539045999959</v>
      </c>
      <c r="I11" s="5">
        <f>(H11+J11)/2</f>
        <v>49.587345608999911</v>
      </c>
      <c r="J11" s="1">
        <v>49.766152171999863</v>
      </c>
      <c r="K11" s="5">
        <f>(J11+L11)/2</f>
        <v>49.94101585699994</v>
      </c>
      <c r="L11" s="1">
        <v>50.115879542000009</v>
      </c>
      <c r="M11" s="5">
        <f>(L11+N11)/2</f>
        <v>50.282615958999912</v>
      </c>
      <c r="N11" s="1">
        <v>50.449352375999823</v>
      </c>
      <c r="O11" s="5">
        <f>(N11+P11)/2</f>
        <v>50.617244032999878</v>
      </c>
      <c r="P11" s="1">
        <v>50.78513568999994</v>
      </c>
      <c r="Q11" s="5">
        <f>(P11+R11)/2</f>
        <v>50.946502559999999</v>
      </c>
      <c r="R11" s="1">
        <v>51.107869430000058</v>
      </c>
      <c r="S11" s="5">
        <f>(R11+T11)/2</f>
        <v>51.26679847200004</v>
      </c>
      <c r="T11" s="1">
        <v>51.425727514000023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B13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20.24536570599966</v>
      </c>
      <c r="G15" s="5">
        <f>(F15+H15)/2</f>
        <v>20.240762040999662</v>
      </c>
      <c r="H15" s="1">
        <v>20.236158375999661</v>
      </c>
      <c r="I15" s="5">
        <f>(H15+J15)/2</f>
        <v>20.235541235999662</v>
      </c>
      <c r="J15" s="1">
        <v>20.234924095999659</v>
      </c>
      <c r="K15" s="5">
        <f>(J15+L15)/2</f>
        <v>20.234035867999655</v>
      </c>
      <c r="L15" s="1">
        <v>20.23314763999965</v>
      </c>
      <c r="M15" s="5">
        <f>(L15+N15)/2</f>
        <v>20.277370404000965</v>
      </c>
      <c r="N15" s="1">
        <v>20.321593168002281</v>
      </c>
      <c r="O15" s="5">
        <f>(N15+P15)/2</f>
        <v>20.350362432000345</v>
      </c>
      <c r="P15" s="1">
        <v>20.37913169599841</v>
      </c>
      <c r="Q15" s="5">
        <f>(P15+R15)/2</f>
        <v>20.379339311998407</v>
      </c>
      <c r="R15" s="1">
        <v>20.379546927998408</v>
      </c>
      <c r="S15" s="5">
        <f>(R15+T15)/2</f>
        <v>20.721555528997968</v>
      </c>
      <c r="T15" s="1">
        <v>21.06356412999753</v>
      </c>
    </row>
    <row r="16" spans="2:20" x14ac:dyDescent="0.25">
      <c r="B16" t="s">
        <v>16</v>
      </c>
      <c r="C16" s="1"/>
      <c r="D16" s="1"/>
      <c r="E16" s="1"/>
      <c r="F16" s="1">
        <v>56.193455981999989</v>
      </c>
      <c r="G16" s="5">
        <f>(F16+H16)/2</f>
        <v>62.263497718999993</v>
      </c>
      <c r="H16" s="1">
        <v>68.333539455999997</v>
      </c>
      <c r="I16" s="5">
        <f>(H16+J16)/2</f>
        <v>75.146895200999978</v>
      </c>
      <c r="J16" s="1">
        <v>81.960250945999945</v>
      </c>
      <c r="K16" s="5">
        <f>(J16+L16)/2</f>
        <v>88.389804235999947</v>
      </c>
      <c r="L16" s="1">
        <v>94.819357525999948</v>
      </c>
      <c r="M16" s="5">
        <f>(L16+N16)/2</f>
        <v>100.79918888099996</v>
      </c>
      <c r="N16" s="1">
        <v>106.77902023599999</v>
      </c>
      <c r="O16" s="5">
        <f>(N16+P16)/2</f>
        <v>112.4313631939999</v>
      </c>
      <c r="P16" s="1">
        <v>118.08370615199981</v>
      </c>
      <c r="Q16" s="5">
        <f>(P16+R16)/2</f>
        <v>124.84279741599985</v>
      </c>
      <c r="R16" s="1">
        <v>131.60188867999989</v>
      </c>
      <c r="S16" s="5">
        <f>(R16+T16)/2</f>
        <v>136.89068068999984</v>
      </c>
      <c r="T16" s="1">
        <v>142.17947269999979</v>
      </c>
    </row>
    <row r="17" spans="2:20" x14ac:dyDescent="0.25">
      <c r="B17" t="s">
        <v>17</v>
      </c>
      <c r="C17" s="1"/>
      <c r="D17" s="1"/>
      <c r="E17" s="1"/>
      <c r="F17" s="1">
        <v>6.2119754000000048E-2</v>
      </c>
      <c r="G17" s="5">
        <f>(F17+H17)/2</f>
        <v>6.1936610000000031E-2</v>
      </c>
      <c r="H17" s="1">
        <v>6.1753466000000007E-2</v>
      </c>
      <c r="I17" s="5">
        <f>(H17+J17)/2</f>
        <v>6.1776342000000019E-2</v>
      </c>
      <c r="J17" s="1">
        <v>6.1799218000000031E-2</v>
      </c>
      <c r="K17" s="5">
        <f>(J17+L17)/2</f>
        <v>6.175893200000003E-2</v>
      </c>
      <c r="L17" s="1">
        <v>6.171864600000003E-2</v>
      </c>
      <c r="M17" s="5">
        <f>(L17+N17)/2</f>
        <v>6.1695377000000037E-2</v>
      </c>
      <c r="N17" s="1">
        <v>6.1672108000000038E-2</v>
      </c>
      <c r="O17" s="5">
        <f>(N17+P17)/2</f>
        <v>0.83417451499999951</v>
      </c>
      <c r="P17" s="1">
        <v>1.606676921999999</v>
      </c>
      <c r="Q17" s="5">
        <f>(P17+R17)/2</f>
        <v>2.1218610219999996</v>
      </c>
      <c r="R17" s="1">
        <v>2.637045122</v>
      </c>
      <c r="S17" s="5">
        <f>(R17+T17)/2</f>
        <v>3.6572504620000008</v>
      </c>
      <c r="T17" s="1">
        <v>4.6774558020000017</v>
      </c>
    </row>
    <row r="18" spans="2:20" x14ac:dyDescent="0.25">
      <c r="B18" t="s">
        <v>18</v>
      </c>
      <c r="C18" s="1"/>
      <c r="D18" s="1"/>
      <c r="E18" s="1"/>
      <c r="F18" s="1">
        <v>24.485636744000001</v>
      </c>
      <c r="G18" s="5">
        <f>(F18+H18)/2</f>
        <v>25.762133641999988</v>
      </c>
      <c r="H18" s="1">
        <v>27.038630539999971</v>
      </c>
      <c r="I18" s="5">
        <f>(H18+J18)/2</f>
        <v>28.754277441999989</v>
      </c>
      <c r="J18" s="1">
        <v>30.46992434400001</v>
      </c>
      <c r="K18" s="5">
        <f>(J18+L18)/2</f>
        <v>32.463928195000008</v>
      </c>
      <c r="L18" s="1">
        <v>34.457932046000003</v>
      </c>
      <c r="M18" s="5">
        <f>(L18+N18)/2</f>
        <v>36.739867724000021</v>
      </c>
      <c r="N18" s="1">
        <v>39.021803402000032</v>
      </c>
      <c r="O18" s="5">
        <f>(N18+P18)/2</f>
        <v>41.030528088000011</v>
      </c>
      <c r="P18" s="1">
        <v>43.039252773999984</v>
      </c>
      <c r="Q18" s="5">
        <f>(P18+R18)/2</f>
        <v>45.927795901000017</v>
      </c>
      <c r="R18" s="1">
        <v>48.816339028000051</v>
      </c>
      <c r="S18" s="5">
        <f>(R18+T18)/2</f>
        <v>52.035449643999996</v>
      </c>
      <c r="T18" s="1">
        <v>55.254560259999948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255.9667631319999</v>
      </c>
      <c r="G19" s="5">
        <f t="shared" si="0"/>
        <v>260.50584677099943</v>
      </c>
      <c r="H19" s="1">
        <f t="shared" si="0"/>
        <v>265.04493040999898</v>
      </c>
      <c r="I19" s="5">
        <f t="shared" si="0"/>
        <v>277.48886424999887</v>
      </c>
      <c r="J19" s="1">
        <f t="shared" si="0"/>
        <v>289.93279808999858</v>
      </c>
      <c r="K19" s="5">
        <f t="shared" si="0"/>
        <v>297.6677739299995</v>
      </c>
      <c r="L19" s="1">
        <f t="shared" si="0"/>
        <v>305.40274977000041</v>
      </c>
      <c r="M19" s="5">
        <f t="shared" si="0"/>
        <v>314.17105393700143</v>
      </c>
      <c r="N19" s="1">
        <f t="shared" si="0"/>
        <v>322.93935810400245</v>
      </c>
      <c r="O19" s="5">
        <f t="shared" si="0"/>
        <v>331.44449130900091</v>
      </c>
      <c r="P19" s="1">
        <f t="shared" si="0"/>
        <v>339.94962451399942</v>
      </c>
      <c r="Q19" s="5">
        <f t="shared" si="0"/>
        <v>346.89564927099923</v>
      </c>
      <c r="R19" s="1">
        <f t="shared" si="0"/>
        <v>355.96293907799895</v>
      </c>
      <c r="S19" s="5">
        <f t="shared" si="0"/>
        <v>364.51055382399829</v>
      </c>
      <c r="T19" s="1">
        <f t="shared" si="0"/>
        <v>373.05816856999775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79"/>
  <sheetViews>
    <sheetView tabSelected="1" topLeftCell="A61" workbookViewId="0">
      <selection activeCell="I69" sqref="I69"/>
    </sheetView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28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5.2270000000000003</v>
      </c>
      <c r="F9" s="1">
        <v>4.9119999999999999</v>
      </c>
      <c r="G9" s="1">
        <v>4.9119999999999999</v>
      </c>
      <c r="H9" s="1">
        <v>4.9119999999999999</v>
      </c>
      <c r="I9" s="1">
        <v>4.9119999999999999</v>
      </c>
      <c r="J9" s="1">
        <v>4.9119999999999999</v>
      </c>
      <c r="K9" s="1">
        <v>4.9119999999999999</v>
      </c>
      <c r="L9" s="1">
        <v>4.9119999999999999</v>
      </c>
      <c r="M9" s="1">
        <v>4.9119999999999999</v>
      </c>
      <c r="N9" s="1">
        <v>4.7154999999999996</v>
      </c>
      <c r="O9" s="1">
        <v>4.1261000000000001</v>
      </c>
      <c r="P9" s="1">
        <v>3.1436999999999999</v>
      </c>
      <c r="Q9" s="1">
        <v>1.7683</v>
      </c>
      <c r="R9" s="1">
        <v>0</v>
      </c>
      <c r="S9" s="1">
        <v>0</v>
      </c>
      <c r="T9" s="1">
        <v>0</v>
      </c>
    </row>
    <row r="10" spans="2:20" x14ac:dyDescent="0.25">
      <c r="B10" t="s">
        <v>10</v>
      </c>
      <c r="C10" s="1"/>
      <c r="D10" s="1"/>
      <c r="E10" s="1">
        <v>55.948</v>
      </c>
      <c r="F10" s="1">
        <v>55.801400000000001</v>
      </c>
      <c r="G10" s="1">
        <v>55.588700000000003</v>
      </c>
      <c r="H10" s="1">
        <v>55.4377</v>
      </c>
      <c r="I10" s="1">
        <v>55.897799999999997</v>
      </c>
      <c r="J10" s="1">
        <v>55.832000000000001</v>
      </c>
      <c r="K10" s="1">
        <v>55.240299999999998</v>
      </c>
      <c r="L10" s="1">
        <v>54.189500000000002</v>
      </c>
      <c r="M10" s="1">
        <v>52.860500000000002</v>
      </c>
      <c r="N10" s="1">
        <v>51.811500000000002</v>
      </c>
      <c r="O10" s="1">
        <v>51.286999999999999</v>
      </c>
      <c r="P10" s="1">
        <v>50.829599999999999</v>
      </c>
      <c r="Q10" s="1">
        <v>50.372199999999999</v>
      </c>
      <c r="R10" s="1">
        <v>49.9148</v>
      </c>
      <c r="S10" s="1">
        <v>49.4574</v>
      </c>
      <c r="T10" s="1">
        <v>49</v>
      </c>
    </row>
    <row r="11" spans="2:20" x14ac:dyDescent="0.25">
      <c r="B11" t="s">
        <v>11</v>
      </c>
      <c r="C11" s="1"/>
      <c r="D11" s="1"/>
      <c r="E11" s="1">
        <v>14.865</v>
      </c>
      <c r="F11" s="1">
        <v>14.904999999999999</v>
      </c>
      <c r="G11" s="1">
        <v>14.945</v>
      </c>
      <c r="H11" s="1">
        <v>14.984999999999999</v>
      </c>
      <c r="I11" s="1">
        <v>15.025</v>
      </c>
      <c r="J11" s="1">
        <v>15.065099999999999</v>
      </c>
      <c r="K11" s="1">
        <v>15.1051</v>
      </c>
      <c r="L11" s="1">
        <v>15.145099999999999</v>
      </c>
      <c r="M11" s="1">
        <v>15.1851</v>
      </c>
      <c r="N11" s="1">
        <v>15.225099999999999</v>
      </c>
      <c r="O11" s="1">
        <v>15.2651</v>
      </c>
      <c r="P11" s="1">
        <v>15.305099999999999</v>
      </c>
      <c r="Q11" s="1">
        <v>15.395099999999999</v>
      </c>
      <c r="R11" s="1">
        <v>15.4351</v>
      </c>
      <c r="S11" s="1">
        <v>15.475099999999999</v>
      </c>
      <c r="T11" s="1">
        <v>15.5151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2:20" x14ac:dyDescent="0.25">
      <c r="B13" t="s">
        <v>13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2:20" x14ac:dyDescent="0.25">
      <c r="B14" t="s">
        <v>14</v>
      </c>
      <c r="C14" s="1"/>
      <c r="D14" s="1"/>
      <c r="E14" s="1">
        <v>1.548</v>
      </c>
      <c r="F14" s="1">
        <v>1.548</v>
      </c>
      <c r="G14" s="1">
        <v>0.91800000000000004</v>
      </c>
      <c r="H14" s="1">
        <v>0.89600000000000002</v>
      </c>
      <c r="I14" s="1">
        <v>0.89600000000000002</v>
      </c>
      <c r="J14" s="1">
        <v>0.89600000000000002</v>
      </c>
      <c r="K14" s="1">
        <v>0.89600000000000002</v>
      </c>
      <c r="L14" s="1">
        <v>0.89600000000000002</v>
      </c>
      <c r="M14" s="1">
        <v>0.89600000000000002</v>
      </c>
      <c r="N14" s="1">
        <v>0.89600000000000002</v>
      </c>
      <c r="O14" s="1">
        <v>0.89600000000000002</v>
      </c>
      <c r="P14" s="1">
        <v>0.89600000000000002</v>
      </c>
      <c r="Q14" s="1">
        <v>0.89600000000000002</v>
      </c>
      <c r="R14" s="1">
        <v>0.89600000000000002</v>
      </c>
      <c r="S14" s="1">
        <v>0.89600000000000002</v>
      </c>
      <c r="T14" s="1">
        <v>0.89600000000000002</v>
      </c>
    </row>
    <row r="15" spans="2:20" x14ac:dyDescent="0.25">
      <c r="B15" t="s">
        <v>15</v>
      </c>
      <c r="C15" s="1"/>
      <c r="D15" s="1"/>
      <c r="E15" s="1">
        <v>4.9640000000000004</v>
      </c>
      <c r="F15" s="1">
        <v>4.984</v>
      </c>
      <c r="G15" s="1">
        <v>5.0039999999999996</v>
      </c>
      <c r="H15" s="1">
        <v>5.0039999999999996</v>
      </c>
      <c r="I15" s="1">
        <v>5.0039999999999996</v>
      </c>
      <c r="J15" s="1">
        <v>5.0039999999999996</v>
      </c>
      <c r="K15" s="1">
        <v>5.0039999999999996</v>
      </c>
      <c r="L15" s="1">
        <v>5.0039999999999996</v>
      </c>
      <c r="M15" s="1">
        <v>5.0039999999999996</v>
      </c>
      <c r="N15" s="1">
        <v>5.024</v>
      </c>
      <c r="O15" s="1">
        <v>5.0339999999999998</v>
      </c>
      <c r="P15" s="1">
        <v>5.0339999999999998</v>
      </c>
      <c r="Q15" s="1">
        <v>5.0339999999999998</v>
      </c>
      <c r="R15" s="1">
        <v>5.0339999999999998</v>
      </c>
      <c r="S15" s="1">
        <v>5.0339999999999998</v>
      </c>
      <c r="T15" s="1">
        <v>5.1740000000000004</v>
      </c>
    </row>
    <row r="16" spans="2:20" x14ac:dyDescent="0.25">
      <c r="B16" t="s">
        <v>16</v>
      </c>
      <c r="C16" s="1"/>
      <c r="D16" s="1"/>
      <c r="E16" s="1">
        <v>43.5</v>
      </c>
      <c r="F16" s="1">
        <v>52.447800000000001</v>
      </c>
      <c r="G16" s="1">
        <v>59.453200000000002</v>
      </c>
      <c r="H16" s="1">
        <v>66.375200000000007</v>
      </c>
      <c r="I16" s="1">
        <v>73.208699999999993</v>
      </c>
      <c r="J16" s="1">
        <v>80.0625</v>
      </c>
      <c r="K16" s="1">
        <v>86.936599999999999</v>
      </c>
      <c r="L16" s="1">
        <v>93.7256</v>
      </c>
      <c r="M16" s="1">
        <v>100.4636</v>
      </c>
      <c r="N16" s="1">
        <v>106.39230000000001</v>
      </c>
      <c r="O16" s="1">
        <v>110.32859999999999</v>
      </c>
      <c r="P16" s="1">
        <v>116.1223</v>
      </c>
      <c r="Q16" s="1">
        <v>122.511</v>
      </c>
      <c r="R16" s="1">
        <v>129.4427</v>
      </c>
      <c r="S16" s="1">
        <v>136.39830000000001</v>
      </c>
      <c r="T16" s="1">
        <v>142.98249999999999</v>
      </c>
    </row>
    <row r="17" spans="2:20" x14ac:dyDescent="0.25">
      <c r="B17" t="s">
        <v>17</v>
      </c>
      <c r="C17" s="1"/>
      <c r="D17" s="1"/>
      <c r="E17" s="1">
        <v>0.03</v>
      </c>
      <c r="F17" s="1">
        <v>0.03</v>
      </c>
      <c r="G17" s="1">
        <v>0.03</v>
      </c>
      <c r="H17" s="1">
        <v>0.03</v>
      </c>
      <c r="I17" s="1">
        <v>0.03</v>
      </c>
      <c r="J17" s="1">
        <v>0.03</v>
      </c>
      <c r="K17" s="1">
        <v>0.03</v>
      </c>
      <c r="L17" s="1">
        <v>0.03</v>
      </c>
      <c r="M17" s="1">
        <v>0.03</v>
      </c>
      <c r="N17" s="1">
        <v>0.03</v>
      </c>
      <c r="O17" s="1">
        <v>0.28000000000000003</v>
      </c>
      <c r="P17" s="1">
        <v>0.78</v>
      </c>
      <c r="Q17" s="1">
        <v>1.28</v>
      </c>
      <c r="R17" s="1">
        <v>1.28</v>
      </c>
      <c r="S17" s="1">
        <v>1.78</v>
      </c>
      <c r="T17" s="1">
        <v>2.2799999999999998</v>
      </c>
    </row>
    <row r="18" spans="2:20" x14ac:dyDescent="0.25">
      <c r="B18" t="s">
        <v>18</v>
      </c>
      <c r="C18" s="1"/>
      <c r="D18" s="1"/>
      <c r="E18" s="1">
        <v>13.03</v>
      </c>
      <c r="F18" s="1">
        <v>13.66</v>
      </c>
      <c r="G18" s="1">
        <v>14.23</v>
      </c>
      <c r="H18" s="1">
        <v>15.2</v>
      </c>
      <c r="I18" s="1">
        <v>16.170000000000002</v>
      </c>
      <c r="J18" s="1">
        <v>17.215</v>
      </c>
      <c r="K18" s="1">
        <v>18.335000000000001</v>
      </c>
      <c r="L18" s="1">
        <v>19.594999999999999</v>
      </c>
      <c r="M18" s="1">
        <v>20.925000000000001</v>
      </c>
      <c r="N18" s="1">
        <v>22.315000000000001</v>
      </c>
      <c r="O18" s="1">
        <v>23.164300000000001</v>
      </c>
      <c r="P18" s="1">
        <v>24.662700000000001</v>
      </c>
      <c r="Q18" s="1">
        <v>26.2117</v>
      </c>
      <c r="R18" s="1">
        <v>28.068999999999999</v>
      </c>
      <c r="S18" s="1">
        <v>30.048100000000002</v>
      </c>
      <c r="T18" s="1">
        <v>32</v>
      </c>
    </row>
    <row r="19" spans="2:20" x14ac:dyDescent="0.25">
      <c r="B19" t="s">
        <v>19</v>
      </c>
      <c r="C19" s="1"/>
      <c r="D19" s="1">
        <f t="shared" ref="D19:T19" si="0">SUM(D9:D18)</f>
        <v>0</v>
      </c>
      <c r="E19" s="1">
        <f t="shared" si="0"/>
        <v>139.11199999999999</v>
      </c>
      <c r="F19" s="1">
        <f t="shared" si="0"/>
        <v>148.28819999999999</v>
      </c>
      <c r="G19" s="1">
        <f t="shared" si="0"/>
        <v>155.08090000000001</v>
      </c>
      <c r="H19" s="1">
        <f t="shared" si="0"/>
        <v>162.8399</v>
      </c>
      <c r="I19" s="1">
        <f t="shared" si="0"/>
        <v>171.14350000000002</v>
      </c>
      <c r="J19" s="1">
        <f t="shared" si="0"/>
        <v>179.01660000000001</v>
      </c>
      <c r="K19" s="1">
        <f t="shared" si="0"/>
        <v>186.459</v>
      </c>
      <c r="L19" s="1">
        <f t="shared" si="0"/>
        <v>193.49720000000002</v>
      </c>
      <c r="M19" s="1">
        <f t="shared" si="0"/>
        <v>200.27620000000002</v>
      </c>
      <c r="N19" s="1">
        <f t="shared" si="0"/>
        <v>206.40940000000001</v>
      </c>
      <c r="O19" s="1">
        <f t="shared" si="0"/>
        <v>210.3811</v>
      </c>
      <c r="P19" s="1">
        <f t="shared" si="0"/>
        <v>216.77340000000001</v>
      </c>
      <c r="Q19" s="1">
        <f t="shared" si="0"/>
        <v>223.46830000000003</v>
      </c>
      <c r="R19" s="1">
        <f t="shared" si="0"/>
        <v>230.07159999999999</v>
      </c>
      <c r="S19" s="1">
        <f t="shared" si="0"/>
        <v>239.08890000000002</v>
      </c>
      <c r="T19" s="1">
        <f t="shared" si="0"/>
        <v>247.8476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28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-0.315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-0.19650000000000001</v>
      </c>
      <c r="O29" s="1">
        <v>-0.58940000000000003</v>
      </c>
      <c r="P29" s="1">
        <v>-0.98240000000000005</v>
      </c>
      <c r="Q29" s="1">
        <v>-1.3754</v>
      </c>
      <c r="R29" s="1">
        <v>-1.7683</v>
      </c>
      <c r="S29" s="1">
        <v>0</v>
      </c>
      <c r="T29" s="1">
        <v>0</v>
      </c>
    </row>
    <row r="30" spans="2:20" x14ac:dyDescent="0.25">
      <c r="B30" t="s">
        <v>10</v>
      </c>
      <c r="C30" s="1"/>
      <c r="D30" s="1"/>
      <c r="E30" s="1">
        <v>0</v>
      </c>
      <c r="F30" s="1">
        <v>-0.14660000000000001</v>
      </c>
      <c r="G30" s="1">
        <v>-0.2127</v>
      </c>
      <c r="H30" s="1">
        <v>-0.151</v>
      </c>
      <c r="I30" s="1">
        <v>0.46010000000000001</v>
      </c>
      <c r="J30" s="1">
        <v>-6.5799999999999997E-2</v>
      </c>
      <c r="K30" s="1">
        <v>-0.5917</v>
      </c>
      <c r="L30" s="1">
        <v>-1.0508</v>
      </c>
      <c r="M30" s="1">
        <v>-1.329</v>
      </c>
      <c r="N30" s="1">
        <v>-1.0489999999999999</v>
      </c>
      <c r="O30" s="1">
        <v>-0.52449999999999997</v>
      </c>
      <c r="P30" s="1">
        <v>-0.45739999999999997</v>
      </c>
      <c r="Q30" s="1">
        <v>-0.45739999999999997</v>
      </c>
      <c r="R30" s="1">
        <v>-0.45739999999999997</v>
      </c>
      <c r="S30" s="1">
        <v>-0.45739999999999997</v>
      </c>
      <c r="T30" s="1">
        <v>-0.45739999999999997</v>
      </c>
    </row>
    <row r="31" spans="2:20" x14ac:dyDescent="0.25">
      <c r="B31" t="s">
        <v>11</v>
      </c>
      <c r="C31" s="1"/>
      <c r="D31" s="1"/>
      <c r="E31" s="1">
        <v>0</v>
      </c>
      <c r="F31" s="1">
        <v>0.04</v>
      </c>
      <c r="G31" s="1">
        <v>0.04</v>
      </c>
      <c r="H31" s="1">
        <v>0.04</v>
      </c>
      <c r="I31" s="1">
        <v>0.04</v>
      </c>
      <c r="J31" s="1">
        <v>4.0099999999999997E-2</v>
      </c>
      <c r="K31" s="1">
        <v>0.04</v>
      </c>
      <c r="L31" s="1">
        <v>0.04</v>
      </c>
      <c r="M31" s="1">
        <v>0.04</v>
      </c>
      <c r="N31" s="1">
        <v>0.04</v>
      </c>
      <c r="O31" s="1">
        <v>0.04</v>
      </c>
      <c r="P31" s="1">
        <v>0.04</v>
      </c>
      <c r="Q31" s="1">
        <v>0.09</v>
      </c>
      <c r="R31" s="1">
        <v>0.04</v>
      </c>
      <c r="S31" s="1">
        <v>0.04</v>
      </c>
      <c r="T31" s="1">
        <v>0.04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2:20" x14ac:dyDescent="0.25">
      <c r="B34" t="s">
        <v>14</v>
      </c>
      <c r="C34" s="1"/>
      <c r="D34" s="1"/>
      <c r="E34" s="1">
        <v>0</v>
      </c>
      <c r="F34" s="1">
        <v>0</v>
      </c>
      <c r="G34" s="1">
        <v>-0.63</v>
      </c>
      <c r="H34" s="1">
        <v>-2.1999999999999999E-2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2:20" x14ac:dyDescent="0.25">
      <c r="B35" t="s">
        <v>15</v>
      </c>
      <c r="C35" s="1"/>
      <c r="D35" s="1"/>
      <c r="E35" s="1">
        <v>0</v>
      </c>
      <c r="F35" s="1">
        <v>0.02</v>
      </c>
      <c r="G35" s="1">
        <v>0.02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0.02</v>
      </c>
      <c r="O35" s="1">
        <v>0.01</v>
      </c>
      <c r="P35" s="1">
        <v>0</v>
      </c>
      <c r="Q35" s="1">
        <v>0</v>
      </c>
      <c r="R35" s="1">
        <v>0</v>
      </c>
      <c r="S35" s="1">
        <v>0</v>
      </c>
      <c r="T35" s="1">
        <v>0.14000000000000001</v>
      </c>
    </row>
    <row r="36" spans="2:20" x14ac:dyDescent="0.25">
      <c r="B36" t="s">
        <v>16</v>
      </c>
      <c r="C36" s="1"/>
      <c r="D36" s="1"/>
      <c r="E36" s="1">
        <v>0</v>
      </c>
      <c r="F36" s="1">
        <v>8.9477999999999991</v>
      </c>
      <c r="G36" s="1">
        <v>7.0053999999999998</v>
      </c>
      <c r="H36" s="1">
        <v>6.9219999999999997</v>
      </c>
      <c r="I36" s="1">
        <v>6.8334999999999999</v>
      </c>
      <c r="J36" s="1">
        <v>6.8537999999999997</v>
      </c>
      <c r="K36" s="1">
        <v>6.8741000000000003</v>
      </c>
      <c r="L36" s="1">
        <v>6.7889999999999997</v>
      </c>
      <c r="M36" s="1">
        <v>6.7380000000000004</v>
      </c>
      <c r="N36" s="1">
        <v>5.9287000000000001</v>
      </c>
      <c r="O36" s="1">
        <v>3.9363000000000001</v>
      </c>
      <c r="P36" s="1">
        <v>5.7936999999999994</v>
      </c>
      <c r="Q36" s="1">
        <v>6.3887</v>
      </c>
      <c r="R36" s="1">
        <v>6.9317000000000002</v>
      </c>
      <c r="S36" s="1">
        <v>6.9555999999999996</v>
      </c>
      <c r="T36" s="1">
        <v>6.5842000000000001</v>
      </c>
    </row>
    <row r="37" spans="2:20" x14ac:dyDescent="0.25">
      <c r="B37" t="s">
        <v>17</v>
      </c>
      <c r="C37" s="1"/>
      <c r="D37" s="1"/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0.25</v>
      </c>
      <c r="P37" s="1">
        <v>0.5</v>
      </c>
      <c r="Q37" s="1">
        <v>0.5</v>
      </c>
      <c r="R37" s="1">
        <v>0</v>
      </c>
      <c r="S37" s="1">
        <v>0.5</v>
      </c>
      <c r="T37" s="1">
        <v>0.5</v>
      </c>
    </row>
    <row r="38" spans="2:20" x14ac:dyDescent="0.25">
      <c r="B38" t="s">
        <v>18</v>
      </c>
      <c r="C38" s="1"/>
      <c r="D38" s="1"/>
      <c r="E38" s="1">
        <v>0</v>
      </c>
      <c r="F38" s="1">
        <v>0.63</v>
      </c>
      <c r="G38" s="1">
        <v>0.56999999999999995</v>
      </c>
      <c r="H38" s="1">
        <v>0.97</v>
      </c>
      <c r="I38" s="1">
        <v>0.97</v>
      </c>
      <c r="J38" s="1">
        <v>1.0449999999999999</v>
      </c>
      <c r="K38" s="1">
        <v>1.1200000000000001</v>
      </c>
      <c r="L38" s="1">
        <v>1.26</v>
      </c>
      <c r="M38" s="1">
        <v>1.33</v>
      </c>
      <c r="N38" s="1">
        <v>1.39</v>
      </c>
      <c r="O38" s="1">
        <v>0.84930000000000005</v>
      </c>
      <c r="P38" s="1">
        <v>1.4984</v>
      </c>
      <c r="Q38" s="1">
        <v>1.5489999999999999</v>
      </c>
      <c r="R38" s="1">
        <v>1.8573</v>
      </c>
      <c r="S38" s="1">
        <v>1.9791000000000001</v>
      </c>
      <c r="T38" s="1">
        <v>1.9519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9.1761999999999997</v>
      </c>
      <c r="G39" s="1">
        <f t="shared" si="1"/>
        <v>6.7927</v>
      </c>
      <c r="H39" s="1">
        <f t="shared" si="1"/>
        <v>7.7589999999999995</v>
      </c>
      <c r="I39" s="1">
        <f t="shared" si="1"/>
        <v>8.3035999999999994</v>
      </c>
      <c r="J39" s="1">
        <f t="shared" si="1"/>
        <v>7.8731</v>
      </c>
      <c r="K39" s="1">
        <f t="shared" si="1"/>
        <v>7.4424000000000001</v>
      </c>
      <c r="L39" s="1">
        <f t="shared" si="1"/>
        <v>7.0381999999999998</v>
      </c>
      <c r="M39" s="1">
        <f t="shared" si="1"/>
        <v>6.7790000000000008</v>
      </c>
      <c r="N39" s="1">
        <f t="shared" si="1"/>
        <v>6.1331999999999995</v>
      </c>
      <c r="O39" s="1">
        <f t="shared" si="1"/>
        <v>3.9716999999999998</v>
      </c>
      <c r="P39" s="1">
        <f t="shared" si="1"/>
        <v>6.3922999999999996</v>
      </c>
      <c r="Q39" s="1">
        <f t="shared" si="1"/>
        <v>6.6949000000000005</v>
      </c>
      <c r="R39" s="1">
        <f t="shared" si="1"/>
        <v>6.6033000000000008</v>
      </c>
      <c r="S39" s="1">
        <f t="shared" si="1"/>
        <v>9.0173000000000005</v>
      </c>
      <c r="T39" s="1">
        <f t="shared" si="1"/>
        <v>8.7586999999999993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28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</v>
      </c>
      <c r="F49" s="1">
        <v>0.315</v>
      </c>
      <c r="G49" s="1">
        <v>0</v>
      </c>
      <c r="H49" s="1">
        <v>0</v>
      </c>
      <c r="I49" s="1">
        <v>7.0000000000000007E-2</v>
      </c>
      <c r="J49" s="1">
        <v>0.33600000000000002</v>
      </c>
      <c r="K49" s="1">
        <v>0.59399999999999997</v>
      </c>
      <c r="L49" s="1">
        <v>0</v>
      </c>
      <c r="M49" s="1">
        <v>0.32</v>
      </c>
      <c r="N49" s="1">
        <v>0.19650000000000001</v>
      </c>
      <c r="O49" s="1">
        <v>0.58940000000000003</v>
      </c>
      <c r="P49" s="1">
        <v>0.98240000000000005</v>
      </c>
      <c r="Q49" s="1">
        <v>1.3754</v>
      </c>
      <c r="R49" s="1">
        <v>0</v>
      </c>
      <c r="S49" s="1">
        <v>0</v>
      </c>
      <c r="T49" s="1">
        <v>0</v>
      </c>
    </row>
    <row r="50" spans="2:20" x14ac:dyDescent="0.25">
      <c r="B50" t="s">
        <v>10</v>
      </c>
      <c r="C50" s="1"/>
      <c r="D50" s="1"/>
      <c r="E50" s="1">
        <v>9.9900000000000003E-2</v>
      </c>
      <c r="F50" s="1">
        <v>0.14660000000000001</v>
      </c>
      <c r="G50" s="1">
        <v>0.2127</v>
      </c>
      <c r="H50" s="1">
        <v>0.151</v>
      </c>
      <c r="I50" s="1">
        <v>0.40550000000000003</v>
      </c>
      <c r="J50" s="1">
        <v>6.5799999999999997E-2</v>
      </c>
      <c r="K50" s="1">
        <v>0.5917</v>
      </c>
      <c r="L50" s="1">
        <v>1.0508</v>
      </c>
      <c r="M50" s="1">
        <v>1.329</v>
      </c>
      <c r="N50" s="1">
        <v>1.0489999999999999</v>
      </c>
      <c r="O50" s="1">
        <v>0.52449999999999997</v>
      </c>
      <c r="P50" s="1">
        <v>0.45739999999999997</v>
      </c>
      <c r="Q50" s="1">
        <v>0.45739999999999997</v>
      </c>
      <c r="R50" s="1">
        <v>0.45739999999999997</v>
      </c>
      <c r="S50" s="1">
        <v>0.45739999999999997</v>
      </c>
      <c r="T50" s="1">
        <v>0.45739999999999997</v>
      </c>
    </row>
    <row r="51" spans="2:20" x14ac:dyDescent="0.25">
      <c r="B51" t="s">
        <v>11</v>
      </c>
      <c r="C51" s="1"/>
      <c r="D51" s="1"/>
      <c r="E51" s="1">
        <v>0.23089999999999999</v>
      </c>
      <c r="F51" s="1">
        <v>0.05</v>
      </c>
      <c r="G51" s="1">
        <v>0.1275</v>
      </c>
      <c r="H51" s="1">
        <v>2E-3</v>
      </c>
      <c r="I51" s="1">
        <v>9.0999999999999998E-2</v>
      </c>
      <c r="J51" s="1">
        <v>0.39760000000000001</v>
      </c>
      <c r="K51" s="1">
        <v>0.30730000000000002</v>
      </c>
      <c r="L51" s="1">
        <v>0.22009999999999999</v>
      </c>
      <c r="M51" s="1">
        <v>6.2E-2</v>
      </c>
      <c r="N51" s="1">
        <v>0.37930000000000003</v>
      </c>
      <c r="O51" s="1">
        <v>0.38340000000000002</v>
      </c>
      <c r="P51" s="1">
        <v>0.315</v>
      </c>
      <c r="Q51" s="1">
        <v>7.8700000000000006E-2</v>
      </c>
      <c r="R51" s="1">
        <v>0.2666</v>
      </c>
      <c r="S51" s="1">
        <v>0.25319999999999998</v>
      </c>
      <c r="T51" s="1">
        <v>0.38329999999999997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2:20" x14ac:dyDescent="0.25">
      <c r="B54" t="s">
        <v>14</v>
      </c>
      <c r="C54" s="1"/>
      <c r="D54" s="1"/>
      <c r="E54" s="1">
        <v>0</v>
      </c>
      <c r="F54" s="1">
        <v>0.03</v>
      </c>
      <c r="G54" s="1">
        <v>0.63</v>
      </c>
      <c r="H54" s="1">
        <v>2.1999999999999999E-2</v>
      </c>
      <c r="I54" s="1">
        <v>0</v>
      </c>
      <c r="J54" s="1">
        <v>0</v>
      </c>
      <c r="K54" s="1">
        <v>0</v>
      </c>
      <c r="L54" s="1">
        <v>0.64</v>
      </c>
      <c r="M54" s="1">
        <v>0</v>
      </c>
      <c r="N54" s="1">
        <v>0</v>
      </c>
      <c r="O54" s="1">
        <v>0</v>
      </c>
      <c r="P54" s="1">
        <v>6.7999999999999996E-3</v>
      </c>
      <c r="Q54" s="1">
        <v>0</v>
      </c>
      <c r="R54" s="1">
        <v>2.87E-2</v>
      </c>
      <c r="S54" s="1">
        <v>0</v>
      </c>
      <c r="T54" s="1">
        <v>0</v>
      </c>
    </row>
    <row r="55" spans="2:20" x14ac:dyDescent="0.25">
      <c r="B55" t="s">
        <v>15</v>
      </c>
      <c r="C55" s="1"/>
      <c r="D55" s="1"/>
      <c r="E55" s="1">
        <v>3.0999999999999999E-3</v>
      </c>
      <c r="F55" s="1">
        <v>1.9800000000000002E-2</v>
      </c>
      <c r="G55" s="1">
        <v>3.7499999999999999E-2</v>
      </c>
      <c r="H55" s="1">
        <v>2.24E-2</v>
      </c>
      <c r="I55" s="1">
        <v>6.0000000000000001E-3</v>
      </c>
      <c r="J55" s="1">
        <v>0.23780000000000001</v>
      </c>
      <c r="K55" s="1">
        <v>2.35E-2</v>
      </c>
      <c r="L55" s="1">
        <v>7.5300000000000006E-2</v>
      </c>
      <c r="M55" s="1">
        <v>6.3E-2</v>
      </c>
      <c r="N55" s="1">
        <v>0.04</v>
      </c>
      <c r="O55" s="1">
        <v>5.8200000000000002E-2</v>
      </c>
      <c r="P55" s="1">
        <v>0.41410000000000002</v>
      </c>
      <c r="Q55" s="1">
        <v>0.1047</v>
      </c>
      <c r="R55" s="1">
        <v>0.26819999999999999</v>
      </c>
      <c r="S55" s="1">
        <v>5.7000000000000002E-2</v>
      </c>
      <c r="T55" s="1">
        <v>8.8900000000000007E-2</v>
      </c>
    </row>
    <row r="56" spans="2:20" x14ac:dyDescent="0.25">
      <c r="B56" t="s">
        <v>16</v>
      </c>
      <c r="C56" s="1"/>
      <c r="D56" s="1"/>
      <c r="E56" s="1">
        <v>3.3E-3</v>
      </c>
      <c r="F56" s="1">
        <v>0</v>
      </c>
      <c r="G56" s="1">
        <v>1.1999999999999999E-3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1E-4</v>
      </c>
      <c r="O56" s="1">
        <v>0</v>
      </c>
      <c r="P56" s="1">
        <v>0</v>
      </c>
      <c r="Q56" s="1">
        <v>4.8999999999999998E-3</v>
      </c>
      <c r="R56" s="1">
        <v>5.0000000000000001E-3</v>
      </c>
      <c r="S56" s="1">
        <v>1.4500000000000001E-2</v>
      </c>
      <c r="T56" s="1">
        <v>0.105</v>
      </c>
    </row>
    <row r="57" spans="2:20" x14ac:dyDescent="0.25">
      <c r="B57" t="s">
        <v>17</v>
      </c>
      <c r="C57" s="1"/>
      <c r="D57" s="1"/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2:20" x14ac:dyDescent="0.25">
      <c r="B58" t="s">
        <v>18</v>
      </c>
      <c r="C58" s="1"/>
      <c r="D58" s="1"/>
      <c r="E58" s="1">
        <v>0.151</v>
      </c>
      <c r="F58" s="1">
        <v>0.182</v>
      </c>
      <c r="G58" s="1">
        <v>0.217</v>
      </c>
      <c r="H58" s="1">
        <v>0.25600000000000001</v>
      </c>
      <c r="I58" s="1">
        <v>0.29899999999999999</v>
      </c>
      <c r="J58" s="1">
        <v>0.34399999999999997</v>
      </c>
      <c r="K58" s="1">
        <v>0.39200000000000002</v>
      </c>
      <c r="L58" s="1">
        <v>0.439</v>
      </c>
      <c r="M58" s="1">
        <v>0.48199999999999998</v>
      </c>
      <c r="N58" s="1">
        <v>0.52100000000000002</v>
      </c>
      <c r="O58" s="1">
        <v>0.52100000000000002</v>
      </c>
      <c r="P58" s="1">
        <v>0.52100000000000002</v>
      </c>
      <c r="Q58" s="1">
        <v>0.52100000000000002</v>
      </c>
      <c r="R58" s="1">
        <v>0.52100000000000002</v>
      </c>
      <c r="S58" s="1">
        <v>0.52100000000000002</v>
      </c>
      <c r="T58" s="1">
        <v>0.52100000000000002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0.48819999999999997</v>
      </c>
      <c r="F59" s="1">
        <f t="shared" si="2"/>
        <v>0.74340000000000006</v>
      </c>
      <c r="G59" s="1">
        <f t="shared" si="2"/>
        <v>1.2259000000000002</v>
      </c>
      <c r="H59" s="1">
        <f t="shared" si="2"/>
        <v>0.45340000000000003</v>
      </c>
      <c r="I59" s="1">
        <f t="shared" si="2"/>
        <v>0.87149999999999994</v>
      </c>
      <c r="J59" s="1">
        <f t="shared" si="2"/>
        <v>1.3812000000000002</v>
      </c>
      <c r="K59" s="1">
        <f t="shared" si="2"/>
        <v>1.9085000000000001</v>
      </c>
      <c r="L59" s="1">
        <f t="shared" si="2"/>
        <v>2.4251999999999998</v>
      </c>
      <c r="M59" s="1">
        <f t="shared" si="2"/>
        <v>2.2560000000000002</v>
      </c>
      <c r="N59" s="1">
        <f t="shared" si="2"/>
        <v>2.1858999999999997</v>
      </c>
      <c r="O59" s="1">
        <f t="shared" si="2"/>
        <v>2.0765000000000002</v>
      </c>
      <c r="P59" s="1">
        <f t="shared" si="2"/>
        <v>2.6966999999999999</v>
      </c>
      <c r="Q59" s="1">
        <f t="shared" si="2"/>
        <v>2.5421</v>
      </c>
      <c r="R59" s="1">
        <f t="shared" si="2"/>
        <v>1.5468999999999999</v>
      </c>
      <c r="S59" s="1">
        <f t="shared" si="2"/>
        <v>1.3030999999999999</v>
      </c>
      <c r="T59" s="1">
        <f t="shared" si="2"/>
        <v>1.5556000000000001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28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7.0000000000000007E-2</v>
      </c>
      <c r="J69" s="1">
        <v>0.33600000000000002</v>
      </c>
      <c r="K69" s="1">
        <v>0</v>
      </c>
      <c r="L69" s="1">
        <v>0</v>
      </c>
      <c r="M69" s="1">
        <v>0.32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0</v>
      </c>
      <c r="G70" s="1">
        <v>0</v>
      </c>
      <c r="H70" s="1">
        <v>0</v>
      </c>
      <c r="I70" s="1">
        <v>0.86560000000000004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</row>
    <row r="71" spans="2:20" x14ac:dyDescent="0.25">
      <c r="B71" t="s">
        <v>11</v>
      </c>
      <c r="C71" s="1"/>
      <c r="D71" s="1"/>
      <c r="E71" s="1">
        <v>0</v>
      </c>
      <c r="F71" s="1">
        <v>0.09</v>
      </c>
      <c r="G71" s="1">
        <v>0.16750000000000001</v>
      </c>
      <c r="H71" s="1">
        <v>4.2000000000000003E-2</v>
      </c>
      <c r="I71" s="1">
        <v>0.13100000000000001</v>
      </c>
      <c r="J71" s="1">
        <v>0.43769999999999998</v>
      </c>
      <c r="K71" s="1">
        <v>0.3473</v>
      </c>
      <c r="L71" s="1">
        <v>0.2601</v>
      </c>
      <c r="M71" s="1">
        <v>0.10199999999999999</v>
      </c>
      <c r="N71" s="1">
        <v>0.41930000000000001</v>
      </c>
      <c r="O71" s="1">
        <v>0.42330000000000001</v>
      </c>
      <c r="P71" s="1">
        <v>0.35499999999999998</v>
      </c>
      <c r="Q71" s="1">
        <v>0.16869999999999999</v>
      </c>
      <c r="R71" s="1">
        <v>0.30659999999999998</v>
      </c>
      <c r="S71" s="1">
        <v>0.29320000000000002</v>
      </c>
      <c r="T71" s="1">
        <v>0.42330000000000001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2:20" x14ac:dyDescent="0.25">
      <c r="B74" t="s">
        <v>14</v>
      </c>
      <c r="C74" s="1"/>
      <c r="D74" s="1"/>
      <c r="E74" s="1">
        <v>0</v>
      </c>
      <c r="F74" s="1">
        <v>0.03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0.64</v>
      </c>
      <c r="M74" s="1">
        <v>0</v>
      </c>
      <c r="N74" s="1">
        <v>0</v>
      </c>
      <c r="O74" s="1">
        <v>0</v>
      </c>
      <c r="P74" s="1">
        <v>6.7999999999999996E-3</v>
      </c>
      <c r="Q74" s="1">
        <v>0</v>
      </c>
      <c r="R74" s="1">
        <v>2.87E-2</v>
      </c>
      <c r="S74" s="1">
        <v>0</v>
      </c>
      <c r="T74" s="1">
        <v>0</v>
      </c>
    </row>
    <row r="75" spans="2:20" x14ac:dyDescent="0.25">
      <c r="B75" t="s">
        <v>15</v>
      </c>
      <c r="C75" s="1"/>
      <c r="D75" s="1"/>
      <c r="E75" s="1">
        <v>0</v>
      </c>
      <c r="F75" s="1">
        <v>3.9800000000000002E-2</v>
      </c>
      <c r="G75" s="1">
        <v>5.7500000000000002E-2</v>
      </c>
      <c r="H75" s="1">
        <v>2.24E-2</v>
      </c>
      <c r="I75" s="1">
        <v>6.0000000000000001E-3</v>
      </c>
      <c r="J75" s="1">
        <v>0.23780000000000001</v>
      </c>
      <c r="K75" s="1">
        <v>2.35E-2</v>
      </c>
      <c r="L75" s="1">
        <v>7.5300000000000006E-2</v>
      </c>
      <c r="M75" s="1">
        <v>6.3E-2</v>
      </c>
      <c r="N75" s="1">
        <v>0.06</v>
      </c>
      <c r="O75" s="1">
        <v>6.8200000000000011E-2</v>
      </c>
      <c r="P75" s="1">
        <v>0.41410000000000002</v>
      </c>
      <c r="Q75" s="1">
        <v>0.1047</v>
      </c>
      <c r="R75" s="1">
        <v>0.26819999999999999</v>
      </c>
      <c r="S75" s="1">
        <v>5.7000000000000002E-2</v>
      </c>
      <c r="T75" s="1">
        <v>0.22889999999999999</v>
      </c>
    </row>
    <row r="76" spans="2:20" x14ac:dyDescent="0.25">
      <c r="B76" t="s">
        <v>16</v>
      </c>
      <c r="C76" s="1"/>
      <c r="D76" s="1"/>
      <c r="E76" s="1">
        <v>0</v>
      </c>
      <c r="F76" s="1">
        <v>8.9477999999999991</v>
      </c>
      <c r="G76" s="1">
        <v>7.0066000000000006</v>
      </c>
      <c r="H76" s="1">
        <v>6.9219999999999997</v>
      </c>
      <c r="I76" s="1">
        <v>6.8334999999999999</v>
      </c>
      <c r="J76" s="1">
        <v>6.8537999999999997</v>
      </c>
      <c r="K76" s="1">
        <v>6.8741000000000003</v>
      </c>
      <c r="L76" s="1">
        <v>6.7889999999999997</v>
      </c>
      <c r="M76" s="1">
        <v>6.7380000000000004</v>
      </c>
      <c r="N76" s="1">
        <v>5.9287999999999998</v>
      </c>
      <c r="O76" s="1">
        <v>3.9363000000000001</v>
      </c>
      <c r="P76" s="1">
        <v>5.7936999999999994</v>
      </c>
      <c r="Q76" s="1">
        <v>6.3936000000000002</v>
      </c>
      <c r="R76" s="1">
        <v>6.9367000000000001</v>
      </c>
      <c r="S76" s="1">
        <v>6.9701000000000004</v>
      </c>
      <c r="T76" s="1">
        <v>6.6891999999999996</v>
      </c>
    </row>
    <row r="77" spans="2:20" x14ac:dyDescent="0.25">
      <c r="B77" t="s">
        <v>17</v>
      </c>
      <c r="C77" s="1"/>
      <c r="D77" s="1"/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0.25</v>
      </c>
      <c r="P77" s="1">
        <v>0.5</v>
      </c>
      <c r="Q77" s="1">
        <v>0.5</v>
      </c>
      <c r="R77" s="1">
        <v>0</v>
      </c>
      <c r="S77" s="1">
        <v>0.5</v>
      </c>
      <c r="T77" s="1">
        <v>0.5</v>
      </c>
    </row>
    <row r="78" spans="2:20" x14ac:dyDescent="0.25">
      <c r="B78" t="s">
        <v>18</v>
      </c>
      <c r="C78" s="1"/>
      <c r="D78" s="1"/>
      <c r="E78" s="1">
        <v>0</v>
      </c>
      <c r="F78" s="1">
        <v>0.81200000000000006</v>
      </c>
      <c r="G78" s="1">
        <v>0.78700000000000003</v>
      </c>
      <c r="H78" s="1">
        <v>1.226</v>
      </c>
      <c r="I78" s="1">
        <v>1.2689999999999999</v>
      </c>
      <c r="J78" s="1">
        <v>1.389</v>
      </c>
      <c r="K78" s="1">
        <v>1.512</v>
      </c>
      <c r="L78" s="1">
        <v>1.6990000000000001</v>
      </c>
      <c r="M78" s="1">
        <v>1.8120000000000001</v>
      </c>
      <c r="N78" s="1">
        <v>1.911</v>
      </c>
      <c r="O78" s="1">
        <v>1.3703000000000001</v>
      </c>
      <c r="P78" s="1">
        <v>2.0194000000000001</v>
      </c>
      <c r="Q78" s="1">
        <v>2.0699999999999998</v>
      </c>
      <c r="R78" s="1">
        <v>2.3782999999999999</v>
      </c>
      <c r="S78" s="1">
        <v>2.5001000000000002</v>
      </c>
      <c r="T78" s="1">
        <v>2.4729000000000001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9.9195999999999991</v>
      </c>
      <c r="G79" s="1">
        <f t="shared" si="3"/>
        <v>8.0186000000000011</v>
      </c>
      <c r="H79" s="1">
        <f t="shared" si="3"/>
        <v>8.2123999999999988</v>
      </c>
      <c r="I79" s="1">
        <f t="shared" si="3"/>
        <v>9.1751000000000005</v>
      </c>
      <c r="J79" s="1">
        <f t="shared" si="3"/>
        <v>9.2542999999999989</v>
      </c>
      <c r="K79" s="1">
        <f t="shared" si="3"/>
        <v>8.7568999999999999</v>
      </c>
      <c r="L79" s="1">
        <f t="shared" si="3"/>
        <v>9.4634</v>
      </c>
      <c r="M79" s="1">
        <f t="shared" si="3"/>
        <v>9.0350000000000001</v>
      </c>
      <c r="N79" s="1">
        <f t="shared" si="3"/>
        <v>8.3191000000000006</v>
      </c>
      <c r="O79" s="1">
        <f t="shared" si="3"/>
        <v>6.0481000000000007</v>
      </c>
      <c r="P79" s="1">
        <f t="shared" si="3"/>
        <v>9.0889999999999986</v>
      </c>
      <c r="Q79" s="1">
        <f t="shared" si="3"/>
        <v>9.2370000000000001</v>
      </c>
      <c r="R79" s="1">
        <f t="shared" si="3"/>
        <v>9.9184999999999999</v>
      </c>
      <c r="S79" s="1">
        <f t="shared" si="3"/>
        <v>10.320400000000001</v>
      </c>
      <c r="T79" s="1">
        <f t="shared" si="3"/>
        <v>10.314299999999999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29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>
        <v>4.2073310000000003E-2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25">
      <c r="B10" t="s">
        <v>10</v>
      </c>
      <c r="C10" s="1"/>
      <c r="D10" s="1"/>
      <c r="E10" s="1"/>
      <c r="F10" s="1">
        <v>49.388141553999972</v>
      </c>
      <c r="G10" s="5">
        <f>(F10+H10)/2</f>
        <v>47.772285271999976</v>
      </c>
      <c r="H10" s="1">
        <v>46.156428989999981</v>
      </c>
      <c r="I10" s="5">
        <f>(H10+J10)/2</f>
        <v>55.752032103999959</v>
      </c>
      <c r="J10" s="1">
        <v>65.347635217999937</v>
      </c>
      <c r="K10" s="5">
        <f>(J10+L10)/2</f>
        <v>64.380579968999953</v>
      </c>
      <c r="L10" s="1">
        <v>63.413524719999963</v>
      </c>
      <c r="M10" s="5">
        <f>(L10+N10)/2</f>
        <v>62.815918760999949</v>
      </c>
      <c r="N10" s="1">
        <v>62.218312801999943</v>
      </c>
      <c r="O10" s="5">
        <f>(N10+P10)/2</f>
        <v>59.14581706599995</v>
      </c>
      <c r="P10" s="1">
        <v>56.073321329999963</v>
      </c>
      <c r="Q10" s="5">
        <f>(P10+R10)/2</f>
        <v>56.440265585999967</v>
      </c>
      <c r="R10" s="1">
        <v>56.807209841999963</v>
      </c>
      <c r="S10" s="5">
        <f>(R10+T10)/2</f>
        <v>54.928359680999968</v>
      </c>
      <c r="T10" s="1">
        <v>53.049509519999972</v>
      </c>
    </row>
    <row r="11" spans="2:20" x14ac:dyDescent="0.25">
      <c r="B11" t="s">
        <v>11</v>
      </c>
      <c r="C11" s="1"/>
      <c r="D11" s="1"/>
      <c r="E11" s="1"/>
      <c r="F11" s="1">
        <v>29.743601249999969</v>
      </c>
      <c r="G11" s="5">
        <f>(F11+H11)/2</f>
        <v>29.74382578699996</v>
      </c>
      <c r="H11" s="1">
        <v>29.74405032399995</v>
      </c>
      <c r="I11" s="5">
        <f>(H11+J11)/2</f>
        <v>29.744484444999955</v>
      </c>
      <c r="J11" s="1">
        <v>29.74491856599996</v>
      </c>
      <c r="K11" s="5">
        <f>(J11+L11)/2</f>
        <v>29.744135684999961</v>
      </c>
      <c r="L11" s="1">
        <v>29.743352803999962</v>
      </c>
      <c r="M11" s="5">
        <f>(L11+N11)/2</f>
        <v>29.743760969999961</v>
      </c>
      <c r="N11" s="1">
        <v>29.744169135999961</v>
      </c>
      <c r="O11" s="5">
        <f>(N11+P11)/2</f>
        <v>29.743996024999959</v>
      </c>
      <c r="P11" s="1">
        <v>29.74382291399996</v>
      </c>
      <c r="Q11" s="5">
        <f>(P11+R11)/2</f>
        <v>29.744021862999958</v>
      </c>
      <c r="R11" s="1">
        <v>29.744220811999959</v>
      </c>
      <c r="S11" s="5">
        <f>(R11+T11)/2</f>
        <v>29.745182423999957</v>
      </c>
      <c r="T11" s="1">
        <v>29.746144035999951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B13" t="s">
        <v>13</v>
      </c>
      <c r="C13" s="1"/>
      <c r="D13" s="1"/>
      <c r="E13" s="1"/>
      <c r="F13" s="1">
        <v>57.719301530000678</v>
      </c>
      <c r="G13" s="5">
        <f>(F13+H13)/2</f>
        <v>57.719301530000671</v>
      </c>
      <c r="H13" s="1">
        <v>57.719301530000664</v>
      </c>
      <c r="I13" s="5">
        <f>(H13+J13)/2</f>
        <v>41.221370900000046</v>
      </c>
      <c r="J13" s="1">
        <v>24.723440269999429</v>
      </c>
      <c r="K13" s="5">
        <f>(J13+L13)/2</f>
        <v>24.723440269999429</v>
      </c>
      <c r="L13" s="1">
        <v>24.723440269999429</v>
      </c>
      <c r="M13" s="5">
        <f>(L13+N13)/2</f>
        <v>24.723440269999436</v>
      </c>
      <c r="N13" s="1">
        <v>24.72344026999944</v>
      </c>
      <c r="O13" s="5">
        <f>(N13+P13)/2</f>
        <v>24.72344026999944</v>
      </c>
      <c r="P13" s="1">
        <v>24.72344026999944</v>
      </c>
      <c r="Q13" s="5">
        <f>(P13+R13)/2</f>
        <v>24.723440269999436</v>
      </c>
      <c r="R13" s="1">
        <v>24.723440269999429</v>
      </c>
      <c r="S13" s="5">
        <f>(R13+T13)/2</f>
        <v>24.723440269999422</v>
      </c>
      <c r="T13" s="1">
        <v>24.723440269999418</v>
      </c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5.6824713860000413</v>
      </c>
      <c r="G15" s="5">
        <f>(F15+H15)/2</f>
        <v>5.6824387010000423</v>
      </c>
      <c r="H15" s="1">
        <v>5.6824060160000434</v>
      </c>
      <c r="I15" s="5">
        <f>(H15+J15)/2</f>
        <v>5.6825006390000423</v>
      </c>
      <c r="J15" s="1">
        <v>5.6825952620000413</v>
      </c>
      <c r="K15" s="5">
        <f>(J15+L15)/2</f>
        <v>5.6825906550000411</v>
      </c>
      <c r="L15" s="1">
        <v>5.6825860480000419</v>
      </c>
      <c r="M15" s="5">
        <f>(L15+N15)/2</f>
        <v>5.6825802250000415</v>
      </c>
      <c r="N15" s="1">
        <v>5.682574402000041</v>
      </c>
      <c r="O15" s="5">
        <f>(N15+P15)/2</f>
        <v>5.7162923770000429</v>
      </c>
      <c r="P15" s="1">
        <v>5.7500103520000447</v>
      </c>
      <c r="Q15" s="5">
        <f>(P15+R15)/2</f>
        <v>5.7943541040000461</v>
      </c>
      <c r="R15" s="1">
        <v>5.8386978560000466</v>
      </c>
      <c r="S15" s="5">
        <f>(R15+T15)/2</f>
        <v>5.8830285410000496</v>
      </c>
      <c r="T15" s="1">
        <v>5.9273592260000516</v>
      </c>
    </row>
    <row r="16" spans="2:20" x14ac:dyDescent="0.25">
      <c r="B16" t="s">
        <v>16</v>
      </c>
      <c r="C16" s="1"/>
      <c r="D16" s="1"/>
      <c r="E16" s="1"/>
      <c r="F16" s="1">
        <v>64.052861514</v>
      </c>
      <c r="G16" s="5">
        <f>(F16+H16)/2</f>
        <v>67.731142730000002</v>
      </c>
      <c r="H16" s="1">
        <v>71.409423946000004</v>
      </c>
      <c r="I16" s="5">
        <f>(H16+J16)/2</f>
        <v>79.66977799999998</v>
      </c>
      <c r="J16" s="1">
        <v>87.930132053999941</v>
      </c>
      <c r="K16" s="5">
        <f>(J16+L16)/2</f>
        <v>93.702303602999962</v>
      </c>
      <c r="L16" s="1">
        <v>99.474475151999982</v>
      </c>
      <c r="M16" s="5">
        <f>(L16+N16)/2</f>
        <v>106.48315368799993</v>
      </c>
      <c r="N16" s="1">
        <v>113.49183222399989</v>
      </c>
      <c r="O16" s="5">
        <f>(N16+P16)/2</f>
        <v>119.8135753389999</v>
      </c>
      <c r="P16" s="1">
        <v>126.1353184539999</v>
      </c>
      <c r="Q16" s="5">
        <f>(P16+R16)/2</f>
        <v>131.75888302999988</v>
      </c>
      <c r="R16" s="1">
        <v>137.38244760599989</v>
      </c>
      <c r="S16" s="5">
        <f>(R16+T16)/2</f>
        <v>140.6377816589999</v>
      </c>
      <c r="T16" s="1">
        <v>143.89311571199991</v>
      </c>
    </row>
    <row r="17" spans="2:20" x14ac:dyDescent="0.25">
      <c r="B17" t="s">
        <v>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v>1.8342897819999999</v>
      </c>
      <c r="O17" s="5">
        <f>(N17+P17)/2</f>
        <v>2.7533925789999998</v>
      </c>
      <c r="P17" s="1">
        <v>3.6724953760000001</v>
      </c>
      <c r="Q17" s="5">
        <f>(P17+R17)/2</f>
        <v>5.5094504819999983</v>
      </c>
      <c r="R17" s="1">
        <v>7.3464055879999961</v>
      </c>
      <c r="S17" s="5">
        <f>(R17+T17)/2</f>
        <v>9.1835542949999969</v>
      </c>
      <c r="T17" s="1">
        <v>11.020703001999999</v>
      </c>
    </row>
    <row r="18" spans="2:20" x14ac:dyDescent="0.25">
      <c r="B18" t="s">
        <v>18</v>
      </c>
      <c r="C18" s="1"/>
      <c r="D18" s="1"/>
      <c r="E18" s="1"/>
      <c r="F18" s="1">
        <v>70.933214548000024</v>
      </c>
      <c r="G18" s="5">
        <f>(F18+H18)/2</f>
        <v>75.093308265000005</v>
      </c>
      <c r="H18" s="1">
        <v>79.253401981999986</v>
      </c>
      <c r="I18" s="5">
        <f>(H18+J18)/2</f>
        <v>83.571803969999991</v>
      </c>
      <c r="J18" s="1">
        <v>87.89020595800001</v>
      </c>
      <c r="K18" s="5">
        <f>(J18+L18)/2</f>
        <v>92.138094613999982</v>
      </c>
      <c r="L18" s="1">
        <v>96.385983269999954</v>
      </c>
      <c r="M18" s="5">
        <f>(L18+N18)/2</f>
        <v>101.14928973699998</v>
      </c>
      <c r="N18" s="1">
        <v>105.912596204</v>
      </c>
      <c r="O18" s="5">
        <f>(N18+P18)/2</f>
        <v>108.622318393</v>
      </c>
      <c r="P18" s="1">
        <v>111.332040582</v>
      </c>
      <c r="Q18" s="5">
        <f>(P18+R18)/2</f>
        <v>113.500903084</v>
      </c>
      <c r="R18" s="1">
        <v>115.669765586</v>
      </c>
      <c r="S18" s="5">
        <f>(R18+T18)/2</f>
        <v>117.83847076399999</v>
      </c>
      <c r="T18" s="1">
        <v>120.007175942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277.56166509200068</v>
      </c>
      <c r="G19" s="5">
        <f t="shared" si="0"/>
        <v>283.74230228500068</v>
      </c>
      <c r="H19" s="1">
        <f t="shared" si="0"/>
        <v>289.96501278800065</v>
      </c>
      <c r="I19" s="5">
        <f t="shared" si="0"/>
        <v>295.64197005799997</v>
      </c>
      <c r="J19" s="1">
        <f t="shared" si="0"/>
        <v>301.31892732799935</v>
      </c>
      <c r="K19" s="5">
        <f t="shared" si="0"/>
        <v>310.37114479599933</v>
      </c>
      <c r="L19" s="1">
        <f t="shared" si="0"/>
        <v>319.42336226399931</v>
      </c>
      <c r="M19" s="5">
        <f t="shared" si="0"/>
        <v>330.5981436509993</v>
      </c>
      <c r="N19" s="1">
        <f t="shared" si="0"/>
        <v>343.60721481999929</v>
      </c>
      <c r="O19" s="5">
        <f t="shared" si="0"/>
        <v>350.51883204899934</v>
      </c>
      <c r="P19" s="1">
        <f t="shared" si="0"/>
        <v>357.43044927799934</v>
      </c>
      <c r="Q19" s="5">
        <f t="shared" si="0"/>
        <v>367.47131841899926</v>
      </c>
      <c r="R19" s="1">
        <f t="shared" si="0"/>
        <v>377.51218755999923</v>
      </c>
      <c r="S19" s="5">
        <f t="shared" si="0"/>
        <v>382.93981763399927</v>
      </c>
      <c r="T19" s="1">
        <f t="shared" si="0"/>
        <v>388.3674477079993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79"/>
  <sheetViews>
    <sheetView topLeftCell="A58" workbookViewId="0">
      <selection activeCell="E69" sqref="E69:T69"/>
    </sheetView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29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1.82</v>
      </c>
      <c r="F9" s="1">
        <v>1.7472000000000001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2:20" x14ac:dyDescent="0.25">
      <c r="B10" t="s">
        <v>10</v>
      </c>
      <c r="C10" s="1"/>
      <c r="D10" s="1"/>
      <c r="E10" s="1">
        <v>29.943000000000001</v>
      </c>
      <c r="F10" s="1">
        <v>29.700700000000001</v>
      </c>
      <c r="G10" s="1">
        <v>29.535399999999999</v>
      </c>
      <c r="H10" s="1">
        <v>29.284400000000002</v>
      </c>
      <c r="I10" s="1">
        <v>29.058800000000002</v>
      </c>
      <c r="J10" s="1">
        <v>28.83</v>
      </c>
      <c r="K10" s="1">
        <v>28.597799999999999</v>
      </c>
      <c r="L10" s="1">
        <v>27.433</v>
      </c>
      <c r="M10" s="1">
        <v>26.686399999999999</v>
      </c>
      <c r="N10" s="1">
        <v>25.744700000000002</v>
      </c>
      <c r="O10" s="1">
        <v>25.273900000000001</v>
      </c>
      <c r="P10" s="1">
        <v>25.2591</v>
      </c>
      <c r="Q10" s="1">
        <v>25.244299999999999</v>
      </c>
      <c r="R10" s="1">
        <v>25.229600000000001</v>
      </c>
      <c r="S10" s="1">
        <v>25.2148</v>
      </c>
      <c r="T10" s="1">
        <v>25.2</v>
      </c>
    </row>
    <row r="11" spans="2:20" x14ac:dyDescent="0.25">
      <c r="B11" t="s">
        <v>11</v>
      </c>
      <c r="C11" s="1"/>
      <c r="D11" s="1"/>
      <c r="E11" s="1">
        <v>16.919</v>
      </c>
      <c r="F11" s="1">
        <v>16.939</v>
      </c>
      <c r="G11" s="1">
        <v>16.978999999999999</v>
      </c>
      <c r="H11" s="1">
        <v>17.009</v>
      </c>
      <c r="I11" s="1">
        <v>17.029</v>
      </c>
      <c r="J11" s="1">
        <v>17.053999999999998</v>
      </c>
      <c r="K11" s="1">
        <v>17.084</v>
      </c>
      <c r="L11" s="1">
        <v>17.094000000000001</v>
      </c>
      <c r="M11" s="1">
        <v>17.103999999999999</v>
      </c>
      <c r="N11" s="1">
        <v>17.114000000000001</v>
      </c>
      <c r="O11" s="1">
        <v>17.123999999999999</v>
      </c>
      <c r="P11" s="1">
        <v>17.134</v>
      </c>
      <c r="Q11" s="1">
        <v>17.143999999999998</v>
      </c>
      <c r="R11" s="1">
        <v>17.154</v>
      </c>
      <c r="S11" s="1">
        <v>17.164000000000001</v>
      </c>
      <c r="T11" s="1">
        <v>17.173999999999999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2:20" x14ac:dyDescent="0.25">
      <c r="B13" t="s">
        <v>13</v>
      </c>
      <c r="C13" s="1"/>
      <c r="D13" s="1">
        <v>7.3849999999999998</v>
      </c>
      <c r="E13" s="1">
        <v>7.3849999999999998</v>
      </c>
      <c r="F13" s="1">
        <v>7.3849999999999998</v>
      </c>
      <c r="G13" s="1">
        <v>7.3849999999999998</v>
      </c>
      <c r="H13" s="1">
        <v>7.3849999999999998</v>
      </c>
      <c r="I13" s="1">
        <v>7.3849999999999998</v>
      </c>
      <c r="J13" s="1">
        <v>3.165</v>
      </c>
      <c r="K13" s="1">
        <v>3.165</v>
      </c>
      <c r="L13" s="1">
        <v>3.165</v>
      </c>
      <c r="M13" s="1">
        <v>3.165</v>
      </c>
      <c r="N13" s="1">
        <v>3.165</v>
      </c>
      <c r="O13" s="1">
        <v>3.165</v>
      </c>
      <c r="P13" s="1">
        <v>3.165</v>
      </c>
      <c r="Q13" s="1">
        <v>3.165</v>
      </c>
      <c r="R13" s="1">
        <v>3.165</v>
      </c>
      <c r="S13" s="1">
        <v>3.165</v>
      </c>
      <c r="T13" s="1">
        <v>3.165</v>
      </c>
    </row>
    <row r="14" spans="2:20" x14ac:dyDescent="0.25">
      <c r="B14" t="s">
        <v>14</v>
      </c>
      <c r="C14" s="1"/>
      <c r="D14" s="1"/>
      <c r="E14" s="1">
        <v>0.67200000000000004</v>
      </c>
      <c r="F14" s="1">
        <v>0.67200000000000004</v>
      </c>
      <c r="G14" s="1">
        <v>0.67200000000000004</v>
      </c>
      <c r="H14" s="1">
        <v>0.67200000000000004</v>
      </c>
      <c r="I14" s="1">
        <v>0.67200000000000004</v>
      </c>
      <c r="J14" s="1">
        <v>0.67200000000000004</v>
      </c>
      <c r="K14" s="1">
        <v>0.67200000000000004</v>
      </c>
      <c r="L14" s="1">
        <v>0.67200000000000004</v>
      </c>
      <c r="M14" s="1">
        <v>0.67200000000000004</v>
      </c>
      <c r="N14" s="1">
        <v>0.67200000000000004</v>
      </c>
      <c r="O14" s="1">
        <v>0.67200000000000004</v>
      </c>
      <c r="P14" s="1">
        <v>0.67200000000000004</v>
      </c>
      <c r="Q14" s="1">
        <v>0.67200000000000004</v>
      </c>
      <c r="R14" s="1">
        <v>0.67200000000000004</v>
      </c>
      <c r="S14" s="1">
        <v>0.67200000000000004</v>
      </c>
      <c r="T14" s="1">
        <v>0.67200000000000004</v>
      </c>
    </row>
    <row r="15" spans="2:20" x14ac:dyDescent="0.25">
      <c r="B15" t="s">
        <v>15</v>
      </c>
      <c r="C15" s="1"/>
      <c r="D15" s="1"/>
      <c r="E15" s="1">
        <v>1.736</v>
      </c>
      <c r="F15" s="1">
        <v>1.736</v>
      </c>
      <c r="G15" s="1">
        <v>1.736</v>
      </c>
      <c r="H15" s="1">
        <v>1.736</v>
      </c>
      <c r="I15" s="1">
        <v>1.736</v>
      </c>
      <c r="J15" s="1">
        <v>1.736</v>
      </c>
      <c r="K15" s="1">
        <v>1.736</v>
      </c>
      <c r="L15" s="1">
        <v>1.736</v>
      </c>
      <c r="M15" s="1">
        <v>1.736</v>
      </c>
      <c r="N15" s="1">
        <v>1.736</v>
      </c>
      <c r="O15" s="1">
        <v>1.7609999999999999</v>
      </c>
      <c r="P15" s="1">
        <v>1.8109999999999999</v>
      </c>
      <c r="Q15" s="1">
        <v>1.861</v>
      </c>
      <c r="R15" s="1">
        <v>1.911</v>
      </c>
      <c r="S15" s="1">
        <v>1.9610000000000001</v>
      </c>
      <c r="T15" s="1">
        <v>2.0110000000000001</v>
      </c>
    </row>
    <row r="16" spans="2:20" x14ac:dyDescent="0.25">
      <c r="B16" t="s">
        <v>16</v>
      </c>
      <c r="C16" s="1"/>
      <c r="D16" s="1"/>
      <c r="E16" s="1">
        <v>59.777000000000001</v>
      </c>
      <c r="F16" s="1">
        <v>65.856499999999997</v>
      </c>
      <c r="G16" s="1">
        <v>70.289699999999996</v>
      </c>
      <c r="H16" s="1">
        <v>76.001800000000003</v>
      </c>
      <c r="I16" s="1">
        <v>81.563099999999991</v>
      </c>
      <c r="J16" s="1">
        <v>86.4315</v>
      </c>
      <c r="K16" s="1">
        <v>90.606899999999996</v>
      </c>
      <c r="L16" s="1">
        <v>96.094700000000003</v>
      </c>
      <c r="M16" s="1">
        <v>103.2821</v>
      </c>
      <c r="N16" s="1">
        <v>108.99930000000001</v>
      </c>
      <c r="O16" s="1">
        <v>113.2543</v>
      </c>
      <c r="P16" s="1">
        <v>118.2564</v>
      </c>
      <c r="Q16" s="1">
        <v>123.2257</v>
      </c>
      <c r="R16" s="1">
        <v>127.9282</v>
      </c>
      <c r="S16" s="1">
        <v>132.8032</v>
      </c>
      <c r="T16" s="1">
        <v>137</v>
      </c>
    </row>
    <row r="17" spans="2:20" x14ac:dyDescent="0.25">
      <c r="B17" t="s">
        <v>17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0.5</v>
      </c>
      <c r="O17" s="1">
        <v>1</v>
      </c>
      <c r="P17" s="1">
        <v>1</v>
      </c>
      <c r="Q17" s="1">
        <v>1.5</v>
      </c>
      <c r="R17" s="1">
        <v>2</v>
      </c>
      <c r="S17" s="1">
        <v>2.5</v>
      </c>
      <c r="T17" s="1">
        <v>3</v>
      </c>
    </row>
    <row r="18" spans="2:20" x14ac:dyDescent="0.25">
      <c r="B18" t="s">
        <v>18</v>
      </c>
      <c r="C18" s="1"/>
      <c r="D18" s="1"/>
      <c r="E18" s="1">
        <v>32.789000000000001</v>
      </c>
      <c r="F18" s="1">
        <v>33.948999999999998</v>
      </c>
      <c r="G18" s="1">
        <v>35.689</v>
      </c>
      <c r="H18" s="1">
        <v>37.948999999999998</v>
      </c>
      <c r="I18" s="1">
        <v>39.738999999999997</v>
      </c>
      <c r="J18" s="1">
        <v>41.594000000000001</v>
      </c>
      <c r="K18" s="1">
        <v>43.514000000000003</v>
      </c>
      <c r="L18" s="1">
        <v>45.584000000000003</v>
      </c>
      <c r="M18" s="1">
        <v>47.774000000000001</v>
      </c>
      <c r="N18" s="1">
        <v>50.073999999999998</v>
      </c>
      <c r="O18" s="1">
        <v>51.668100000000003</v>
      </c>
      <c r="P18" s="1">
        <v>52.556399999999996</v>
      </c>
      <c r="Q18" s="1">
        <v>53.709699999999998</v>
      </c>
      <c r="R18" s="1">
        <v>54.588799999999999</v>
      </c>
      <c r="S18" s="1">
        <v>55.730400000000003</v>
      </c>
      <c r="T18" s="1">
        <v>56.625399999999999</v>
      </c>
    </row>
    <row r="19" spans="2:20" x14ac:dyDescent="0.25">
      <c r="B19" t="s">
        <v>19</v>
      </c>
      <c r="C19" s="1"/>
      <c r="D19" s="1">
        <f t="shared" ref="D19:T19" si="0">SUM(D9:D18)</f>
        <v>7.3849999999999998</v>
      </c>
      <c r="E19" s="1">
        <f t="shared" si="0"/>
        <v>151.041</v>
      </c>
      <c r="F19" s="1">
        <f t="shared" si="0"/>
        <v>157.98539999999997</v>
      </c>
      <c r="G19" s="1">
        <f t="shared" si="0"/>
        <v>162.28609999999998</v>
      </c>
      <c r="H19" s="1">
        <f t="shared" si="0"/>
        <v>170.03719999999998</v>
      </c>
      <c r="I19" s="1">
        <f t="shared" si="0"/>
        <v>177.18289999999999</v>
      </c>
      <c r="J19" s="1">
        <f t="shared" si="0"/>
        <v>179.48249999999999</v>
      </c>
      <c r="K19" s="1">
        <f t="shared" si="0"/>
        <v>185.37569999999999</v>
      </c>
      <c r="L19" s="1">
        <f t="shared" si="0"/>
        <v>191.77870000000001</v>
      </c>
      <c r="M19" s="1">
        <f t="shared" si="0"/>
        <v>200.4195</v>
      </c>
      <c r="N19" s="1">
        <f t="shared" si="0"/>
        <v>208.005</v>
      </c>
      <c r="O19" s="1">
        <f t="shared" si="0"/>
        <v>213.91830000000002</v>
      </c>
      <c r="P19" s="1">
        <f t="shared" si="0"/>
        <v>219.85390000000001</v>
      </c>
      <c r="Q19" s="1">
        <f t="shared" si="0"/>
        <v>226.52170000000001</v>
      </c>
      <c r="R19" s="1">
        <f t="shared" si="0"/>
        <v>232.64859999999999</v>
      </c>
      <c r="S19" s="1">
        <f t="shared" si="0"/>
        <v>239.21039999999999</v>
      </c>
      <c r="T19" s="1">
        <f t="shared" si="0"/>
        <v>244.84739999999999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29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-7.2800000000000004E-2</v>
      </c>
      <c r="G29" s="1">
        <v>-1.7472000000000001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2:20" x14ac:dyDescent="0.25">
      <c r="B30" t="s">
        <v>10</v>
      </c>
      <c r="C30" s="1"/>
      <c r="D30" s="1"/>
      <c r="E30" s="1">
        <v>0</v>
      </c>
      <c r="F30" s="1">
        <v>-0.24229999999999999</v>
      </c>
      <c r="G30" s="1">
        <v>-0.1653</v>
      </c>
      <c r="H30" s="1">
        <v>-0.251</v>
      </c>
      <c r="I30" s="1">
        <v>-0.22559999999999999</v>
      </c>
      <c r="J30" s="1">
        <v>-0.2288</v>
      </c>
      <c r="K30" s="1">
        <v>-0.23219999999999999</v>
      </c>
      <c r="L30" s="1">
        <v>-1.1648000000000001</v>
      </c>
      <c r="M30" s="1">
        <v>-0.74660000000000004</v>
      </c>
      <c r="N30" s="1">
        <v>-0.94169999999999998</v>
      </c>
      <c r="O30" s="1">
        <v>-0.4708</v>
      </c>
      <c r="P30" s="1">
        <v>-1.4800000000000001E-2</v>
      </c>
      <c r="Q30" s="1">
        <v>-1.4800000000000001E-2</v>
      </c>
      <c r="R30" s="1">
        <v>-1.47E-2</v>
      </c>
      <c r="S30" s="1">
        <v>-1.4800000000000001E-2</v>
      </c>
      <c r="T30" s="1">
        <v>-1.4800000000000001E-2</v>
      </c>
    </row>
    <row r="31" spans="2:20" x14ac:dyDescent="0.25">
      <c r="B31" t="s">
        <v>11</v>
      </c>
      <c r="C31" s="1"/>
      <c r="D31" s="1"/>
      <c r="E31" s="1">
        <v>0</v>
      </c>
      <c r="F31" s="1">
        <v>0.02</v>
      </c>
      <c r="G31" s="1">
        <v>0.04</v>
      </c>
      <c r="H31" s="1">
        <v>0.03</v>
      </c>
      <c r="I31" s="1">
        <v>0.02</v>
      </c>
      <c r="J31" s="1">
        <v>2.5000000000000001E-2</v>
      </c>
      <c r="K31" s="1">
        <v>0.03</v>
      </c>
      <c r="L31" s="1">
        <v>9.9999999999999985E-3</v>
      </c>
      <c r="M31" s="1">
        <v>9.9999999999999985E-3</v>
      </c>
      <c r="N31" s="1">
        <v>9.9999999999999985E-3</v>
      </c>
      <c r="O31" s="1">
        <v>9.9999999999999985E-3</v>
      </c>
      <c r="P31" s="1">
        <v>9.9999999999999985E-3</v>
      </c>
      <c r="Q31" s="1">
        <v>9.9999999999999985E-3</v>
      </c>
      <c r="R31" s="1">
        <v>9.9999999999999985E-3</v>
      </c>
      <c r="S31" s="1">
        <v>9.9999999999999985E-3</v>
      </c>
      <c r="T31" s="1">
        <v>9.9999999999999985E-3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-4.22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2:20" x14ac:dyDescent="0.25">
      <c r="B34" t="s">
        <v>14</v>
      </c>
      <c r="C34" s="1"/>
      <c r="D34" s="1"/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2:20" x14ac:dyDescent="0.25">
      <c r="B35" t="s">
        <v>15</v>
      </c>
      <c r="C35" s="1"/>
      <c r="D35" s="1"/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2.5000000000000001E-2</v>
      </c>
      <c r="P35" s="1">
        <v>0.05</v>
      </c>
      <c r="Q35" s="1">
        <v>0.05</v>
      </c>
      <c r="R35" s="1">
        <v>0.05</v>
      </c>
      <c r="S35" s="1">
        <v>0.05</v>
      </c>
      <c r="T35" s="1">
        <v>0.05</v>
      </c>
    </row>
    <row r="36" spans="2:20" x14ac:dyDescent="0.25">
      <c r="B36" t="s">
        <v>16</v>
      </c>
      <c r="C36" s="1"/>
      <c r="D36" s="1"/>
      <c r="E36" s="1">
        <v>0</v>
      </c>
      <c r="F36" s="1">
        <v>6.0795000000000003</v>
      </c>
      <c r="G36" s="1">
        <v>4.4332000000000003</v>
      </c>
      <c r="H36" s="1">
        <v>5.7121000000000004</v>
      </c>
      <c r="I36" s="1">
        <v>5.5613000000000001</v>
      </c>
      <c r="J36" s="1">
        <v>4.8684000000000003</v>
      </c>
      <c r="K36" s="1">
        <v>4.1753999999999998</v>
      </c>
      <c r="L36" s="1">
        <v>5.4878</v>
      </c>
      <c r="M36" s="1">
        <v>7.1874000000000002</v>
      </c>
      <c r="N36" s="1">
        <v>5.7172000000000001</v>
      </c>
      <c r="O36" s="1">
        <v>4.2549999999999999</v>
      </c>
      <c r="P36" s="1">
        <v>5.0021000000000004</v>
      </c>
      <c r="Q36" s="1">
        <v>4.9692999999999996</v>
      </c>
      <c r="R36" s="1">
        <v>4.7024999999999997</v>
      </c>
      <c r="S36" s="1">
        <v>4.875</v>
      </c>
      <c r="T36" s="1">
        <v>4.1967999999999996</v>
      </c>
    </row>
    <row r="37" spans="2:20" x14ac:dyDescent="0.25">
      <c r="B37" t="s">
        <v>17</v>
      </c>
      <c r="C37" s="1"/>
      <c r="D37" s="1"/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0.5</v>
      </c>
      <c r="O37" s="1">
        <v>0.5</v>
      </c>
      <c r="P37" s="1">
        <v>0</v>
      </c>
      <c r="Q37" s="1">
        <v>0.5</v>
      </c>
      <c r="R37" s="1">
        <v>0.5</v>
      </c>
      <c r="S37" s="1">
        <v>0.5</v>
      </c>
      <c r="T37" s="1">
        <v>0.5</v>
      </c>
    </row>
    <row r="38" spans="2:20" x14ac:dyDescent="0.25">
      <c r="B38" t="s">
        <v>18</v>
      </c>
      <c r="C38" s="1"/>
      <c r="D38" s="1"/>
      <c r="E38" s="1">
        <v>0</v>
      </c>
      <c r="F38" s="1">
        <v>1.1599999999999999</v>
      </c>
      <c r="G38" s="1">
        <v>1.74</v>
      </c>
      <c r="H38" s="1">
        <v>2.2599999999999998</v>
      </c>
      <c r="I38" s="1">
        <v>1.79</v>
      </c>
      <c r="J38" s="1">
        <v>1.855</v>
      </c>
      <c r="K38" s="1">
        <v>1.92</v>
      </c>
      <c r="L38" s="1">
        <v>2.0699999999999998</v>
      </c>
      <c r="M38" s="1">
        <v>2.19</v>
      </c>
      <c r="N38" s="1">
        <v>2.2999999999999998</v>
      </c>
      <c r="O38" s="1">
        <v>1.5941000000000001</v>
      </c>
      <c r="P38" s="1">
        <v>0.88829999999999998</v>
      </c>
      <c r="Q38" s="1">
        <v>1.1533</v>
      </c>
      <c r="R38" s="1">
        <v>0.87909999999999999</v>
      </c>
      <c r="S38" s="1">
        <v>1.1415999999999999</v>
      </c>
      <c r="T38" s="1">
        <v>0.89500000000000002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6.9444000000000008</v>
      </c>
      <c r="G39" s="1">
        <f t="shared" si="1"/>
        <v>4.3007</v>
      </c>
      <c r="H39" s="1">
        <f t="shared" si="1"/>
        <v>7.7511000000000001</v>
      </c>
      <c r="I39" s="1">
        <f t="shared" si="1"/>
        <v>7.1457000000000006</v>
      </c>
      <c r="J39" s="1">
        <f t="shared" si="1"/>
        <v>2.2996000000000003</v>
      </c>
      <c r="K39" s="1">
        <f t="shared" si="1"/>
        <v>5.8932000000000002</v>
      </c>
      <c r="L39" s="1">
        <f t="shared" si="1"/>
        <v>6.4030000000000005</v>
      </c>
      <c r="M39" s="1">
        <f t="shared" si="1"/>
        <v>8.6408000000000005</v>
      </c>
      <c r="N39" s="1">
        <f t="shared" si="1"/>
        <v>7.5854999999999997</v>
      </c>
      <c r="O39" s="1">
        <f t="shared" si="1"/>
        <v>5.9133000000000004</v>
      </c>
      <c r="P39" s="1">
        <f t="shared" si="1"/>
        <v>5.9356000000000009</v>
      </c>
      <c r="Q39" s="1">
        <f t="shared" si="1"/>
        <v>6.6677999999999997</v>
      </c>
      <c r="R39" s="1">
        <f t="shared" si="1"/>
        <v>6.1269</v>
      </c>
      <c r="S39" s="1">
        <f t="shared" si="1"/>
        <v>6.5617999999999999</v>
      </c>
      <c r="T39" s="1">
        <f t="shared" si="1"/>
        <v>5.6370000000000005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29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</v>
      </c>
      <c r="F49" s="1">
        <v>7.2800000000000004E-2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2:20" x14ac:dyDescent="0.25">
      <c r="B50" t="s">
        <v>10</v>
      </c>
      <c r="C50" s="1"/>
      <c r="D50" s="1"/>
      <c r="E50" s="1">
        <v>0.1159</v>
      </c>
      <c r="F50" s="1">
        <v>0.24229999999999999</v>
      </c>
      <c r="G50" s="1">
        <v>0.1653</v>
      </c>
      <c r="H50" s="1">
        <v>0.251</v>
      </c>
      <c r="I50" s="1">
        <v>0.22559999999999999</v>
      </c>
      <c r="J50" s="1">
        <v>0.2288</v>
      </c>
      <c r="K50" s="1">
        <v>0.23219999999999999</v>
      </c>
      <c r="L50" s="1">
        <v>1.1648000000000001</v>
      </c>
      <c r="M50" s="1">
        <v>0.74660000000000004</v>
      </c>
      <c r="N50" s="1">
        <v>0.94169999999999998</v>
      </c>
      <c r="O50" s="1">
        <v>0.4708</v>
      </c>
      <c r="P50" s="1">
        <v>1.4800000000000001E-2</v>
      </c>
      <c r="Q50" s="1">
        <v>1.4800000000000001E-2</v>
      </c>
      <c r="R50" s="1">
        <v>1.47E-2</v>
      </c>
      <c r="S50" s="1">
        <v>1.4800000000000001E-2</v>
      </c>
      <c r="T50" s="1">
        <v>1.4800000000000001E-2</v>
      </c>
    </row>
    <row r="51" spans="2:20" x14ac:dyDescent="0.25">
      <c r="B51" t="s">
        <v>11</v>
      </c>
      <c r="C51" s="1"/>
      <c r="D51" s="1"/>
      <c r="E51" s="1">
        <v>5.0299999999999997E-2</v>
      </c>
      <c r="F51" s="1">
        <v>3.7000000000000002E-3</v>
      </c>
      <c r="G51" s="1">
        <v>0.4884</v>
      </c>
      <c r="H51" s="1">
        <v>7.9699999999999993E-2</v>
      </c>
      <c r="I51" s="1">
        <v>0.2397</v>
      </c>
      <c r="J51" s="1">
        <v>3.5999999999999999E-3</v>
      </c>
      <c r="K51" s="1">
        <v>4.7199999999999999E-2</v>
      </c>
      <c r="L51" s="1">
        <v>0.26690000000000003</v>
      </c>
      <c r="M51" s="1">
        <v>4.4499999999999998E-2</v>
      </c>
      <c r="N51" s="1">
        <v>9.3399999999999997E-2</v>
      </c>
      <c r="O51" s="1">
        <v>0.19489999999999999</v>
      </c>
      <c r="P51" s="1">
        <v>0.44619999999999999</v>
      </c>
      <c r="Q51" s="1">
        <v>8.0399999999999999E-2</v>
      </c>
      <c r="R51" s="1">
        <v>0.70020000000000004</v>
      </c>
      <c r="S51" s="1">
        <v>0.21729999999999999</v>
      </c>
      <c r="T51" s="1">
        <v>0.16539999999999999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4.22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2:20" x14ac:dyDescent="0.25">
      <c r="B54" t="s">
        <v>14</v>
      </c>
      <c r="C54" s="1"/>
      <c r="D54" s="1"/>
      <c r="E54" s="1">
        <v>2E-3</v>
      </c>
      <c r="F54" s="1">
        <v>0.1724</v>
      </c>
      <c r="G54" s="1">
        <v>0</v>
      </c>
      <c r="H54" s="1">
        <v>0.17849999999999999</v>
      </c>
      <c r="I54" s="1">
        <v>1.8E-3</v>
      </c>
      <c r="J54" s="1">
        <v>0.39679999999999999</v>
      </c>
      <c r="K54" s="1">
        <v>0</v>
      </c>
      <c r="L54" s="1">
        <v>9.1399999999999995E-2</v>
      </c>
      <c r="M54" s="1">
        <v>0.1295</v>
      </c>
      <c r="N54" s="1">
        <v>1.4E-2</v>
      </c>
      <c r="O54" s="1">
        <v>0.63400000000000001</v>
      </c>
      <c r="P54" s="1">
        <v>6.0600000000000001E-2</v>
      </c>
      <c r="Q54" s="1">
        <v>0.36580000000000001</v>
      </c>
      <c r="R54" s="1">
        <v>0.1966</v>
      </c>
      <c r="S54" s="1">
        <v>0.25280000000000002</v>
      </c>
      <c r="T54" s="1">
        <v>6.3600000000000004E-2</v>
      </c>
    </row>
    <row r="55" spans="2:20" x14ac:dyDescent="0.25">
      <c r="B55" t="s">
        <v>15</v>
      </c>
      <c r="C55" s="1"/>
      <c r="D55" s="1"/>
      <c r="E55" s="1">
        <v>0</v>
      </c>
      <c r="F55" s="1">
        <v>0</v>
      </c>
      <c r="G55" s="1">
        <v>2.3E-2</v>
      </c>
      <c r="H55" s="1">
        <v>2.3999999999999998E-3</v>
      </c>
      <c r="I55" s="1">
        <v>0</v>
      </c>
      <c r="J55" s="1">
        <v>8.8300000000000003E-2</v>
      </c>
      <c r="K55" s="1">
        <v>0</v>
      </c>
      <c r="L55" s="1">
        <v>0.11550000000000001</v>
      </c>
      <c r="M55" s="1">
        <v>9.7999999999999997E-3</v>
      </c>
      <c r="N55" s="1">
        <v>3.4000000000000002E-2</v>
      </c>
      <c r="O55" s="1">
        <v>0.193</v>
      </c>
      <c r="P55" s="1">
        <v>6.6000000000000003E-2</v>
      </c>
      <c r="Q55" s="1">
        <v>2.5000000000000001E-2</v>
      </c>
      <c r="R55" s="1">
        <v>1.4800000000000001E-2</v>
      </c>
      <c r="S55" s="1">
        <v>7.9000000000000001E-2</v>
      </c>
      <c r="T55" s="1">
        <v>4.2999999999999997E-2</v>
      </c>
    </row>
    <row r="56" spans="2:20" x14ac:dyDescent="0.25">
      <c r="B56" t="s">
        <v>16</v>
      </c>
      <c r="C56" s="1"/>
      <c r="D56" s="1"/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1.1999999999999999E-3</v>
      </c>
      <c r="P56" s="1">
        <v>9.4999999999999998E-3</v>
      </c>
      <c r="Q56" s="1">
        <v>8.4500000000000006E-2</v>
      </c>
      <c r="R56" s="1">
        <v>0.4824</v>
      </c>
      <c r="S56" s="1">
        <v>0.25</v>
      </c>
      <c r="T56" s="1">
        <v>0.86140000000000005</v>
      </c>
    </row>
    <row r="57" spans="2:20" x14ac:dyDescent="0.25">
      <c r="B57" t="s">
        <v>17</v>
      </c>
      <c r="C57" s="1"/>
      <c r="D57" s="1"/>
      <c r="E57" s="1">
        <v>2.3E-3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2:20" x14ac:dyDescent="0.25">
      <c r="B58" t="s">
        <v>18</v>
      </c>
      <c r="C58" s="1"/>
      <c r="D58" s="1"/>
      <c r="E58" s="1">
        <v>0.25</v>
      </c>
      <c r="F58" s="1">
        <v>0.33100000000000002</v>
      </c>
      <c r="G58" s="1">
        <v>0.42599999999999999</v>
      </c>
      <c r="H58" s="1">
        <v>0.53300000000000003</v>
      </c>
      <c r="I58" s="1">
        <v>0.65</v>
      </c>
      <c r="J58" s="1">
        <v>0.77400000000000002</v>
      </c>
      <c r="K58" s="1">
        <v>0.90200000000000002</v>
      </c>
      <c r="L58" s="1">
        <v>1.0289999999999999</v>
      </c>
      <c r="M58" s="1">
        <v>1.151</v>
      </c>
      <c r="N58" s="1">
        <v>1.2609999999999999</v>
      </c>
      <c r="O58" s="1">
        <v>1.2609999999999999</v>
      </c>
      <c r="P58" s="1">
        <v>1.2609999999999999</v>
      </c>
      <c r="Q58" s="1">
        <v>1.2609999999999999</v>
      </c>
      <c r="R58" s="1">
        <v>1.2609999999999999</v>
      </c>
      <c r="S58" s="1">
        <v>1.2609999999999999</v>
      </c>
      <c r="T58" s="1">
        <v>1.2609999999999999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0.42049999999999998</v>
      </c>
      <c r="F59" s="1">
        <f t="shared" si="2"/>
        <v>0.82220000000000004</v>
      </c>
      <c r="G59" s="1">
        <f t="shared" si="2"/>
        <v>1.1027</v>
      </c>
      <c r="H59" s="1">
        <f t="shared" si="2"/>
        <v>1.0446</v>
      </c>
      <c r="I59" s="1">
        <f t="shared" si="2"/>
        <v>1.1171</v>
      </c>
      <c r="J59" s="1">
        <f t="shared" si="2"/>
        <v>5.7115</v>
      </c>
      <c r="K59" s="1">
        <f t="shared" si="2"/>
        <v>1.1814</v>
      </c>
      <c r="L59" s="1">
        <f t="shared" si="2"/>
        <v>2.6676000000000002</v>
      </c>
      <c r="M59" s="1">
        <f t="shared" si="2"/>
        <v>2.0814000000000004</v>
      </c>
      <c r="N59" s="1">
        <f t="shared" si="2"/>
        <v>2.3441000000000001</v>
      </c>
      <c r="O59" s="1">
        <f t="shared" si="2"/>
        <v>2.7549000000000001</v>
      </c>
      <c r="P59" s="1">
        <f t="shared" si="2"/>
        <v>1.8580999999999999</v>
      </c>
      <c r="Q59" s="1">
        <f t="shared" si="2"/>
        <v>1.8314999999999999</v>
      </c>
      <c r="R59" s="1">
        <f t="shared" si="2"/>
        <v>2.6696999999999997</v>
      </c>
      <c r="S59" s="1">
        <f t="shared" si="2"/>
        <v>2.0749</v>
      </c>
      <c r="T59" s="1">
        <f t="shared" si="2"/>
        <v>2.4092000000000002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29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</row>
    <row r="71" spans="2:20" x14ac:dyDescent="0.25">
      <c r="B71" t="s">
        <v>11</v>
      </c>
      <c r="C71" s="1"/>
      <c r="D71" s="1"/>
      <c r="E71" s="1">
        <v>0</v>
      </c>
      <c r="F71" s="1">
        <v>2.3699999999999999E-2</v>
      </c>
      <c r="G71" s="1">
        <v>0.52839999999999998</v>
      </c>
      <c r="H71" s="1">
        <v>0.10970000000000001</v>
      </c>
      <c r="I71" s="1">
        <v>0.25969999999999999</v>
      </c>
      <c r="J71" s="1">
        <v>2.87E-2</v>
      </c>
      <c r="K71" s="1">
        <v>7.7200000000000005E-2</v>
      </c>
      <c r="L71" s="1">
        <v>0.27689999999999998</v>
      </c>
      <c r="M71" s="1">
        <v>5.4499999999999993E-2</v>
      </c>
      <c r="N71" s="1">
        <v>0.10340000000000001</v>
      </c>
      <c r="O71" s="1">
        <v>0.2049</v>
      </c>
      <c r="P71" s="1">
        <v>0.45619999999999999</v>
      </c>
      <c r="Q71" s="1">
        <v>9.0400000000000008E-2</v>
      </c>
      <c r="R71" s="1">
        <v>0.71019999999999994</v>
      </c>
      <c r="S71" s="1">
        <v>0.2273</v>
      </c>
      <c r="T71" s="1">
        <v>0.1754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2:20" x14ac:dyDescent="0.25">
      <c r="B74" t="s">
        <v>14</v>
      </c>
      <c r="C74" s="1"/>
      <c r="D74" s="1"/>
      <c r="E74" s="1">
        <v>0</v>
      </c>
      <c r="F74" s="1">
        <v>0.1724</v>
      </c>
      <c r="G74" s="1">
        <v>0</v>
      </c>
      <c r="H74" s="1">
        <v>0.17849999999999999</v>
      </c>
      <c r="I74" s="1">
        <v>1.8E-3</v>
      </c>
      <c r="J74" s="1">
        <v>0.39679999999999999</v>
      </c>
      <c r="K74" s="1">
        <v>0</v>
      </c>
      <c r="L74" s="1">
        <v>9.1399999999999995E-2</v>
      </c>
      <c r="M74" s="1">
        <v>0.1295</v>
      </c>
      <c r="N74" s="1">
        <v>1.4E-2</v>
      </c>
      <c r="O74" s="1">
        <v>0.63400000000000001</v>
      </c>
      <c r="P74" s="1">
        <v>6.0600000000000001E-2</v>
      </c>
      <c r="Q74" s="1">
        <v>0.36580000000000001</v>
      </c>
      <c r="R74" s="1">
        <v>0.1966</v>
      </c>
      <c r="S74" s="1">
        <v>0.25280000000000002</v>
      </c>
      <c r="T74" s="1">
        <v>6.3600000000000004E-2</v>
      </c>
    </row>
    <row r="75" spans="2:20" x14ac:dyDescent="0.25">
      <c r="B75" t="s">
        <v>15</v>
      </c>
      <c r="C75" s="1"/>
      <c r="D75" s="1"/>
      <c r="E75" s="1">
        <v>0</v>
      </c>
      <c r="F75" s="1">
        <v>0</v>
      </c>
      <c r="G75" s="1">
        <v>2.3E-2</v>
      </c>
      <c r="H75" s="1">
        <v>2.3999999999999998E-3</v>
      </c>
      <c r="I75" s="1">
        <v>0</v>
      </c>
      <c r="J75" s="1">
        <v>8.8300000000000003E-2</v>
      </c>
      <c r="K75" s="1">
        <v>0</v>
      </c>
      <c r="L75" s="1">
        <v>0.11550000000000001</v>
      </c>
      <c r="M75" s="1">
        <v>9.7999999999999997E-3</v>
      </c>
      <c r="N75" s="1">
        <v>3.4000000000000002E-2</v>
      </c>
      <c r="O75" s="1">
        <v>0.218</v>
      </c>
      <c r="P75" s="1">
        <v>0.11600000000000001</v>
      </c>
      <c r="Q75" s="1">
        <v>7.5000000000000011E-2</v>
      </c>
      <c r="R75" s="1">
        <v>6.4799999999999996E-2</v>
      </c>
      <c r="S75" s="1">
        <v>0.129</v>
      </c>
      <c r="T75" s="1">
        <v>9.2999999999999999E-2</v>
      </c>
    </row>
    <row r="76" spans="2:20" x14ac:dyDescent="0.25">
      <c r="B76" t="s">
        <v>16</v>
      </c>
      <c r="C76" s="1"/>
      <c r="D76" s="1"/>
      <c r="E76" s="1">
        <v>0</v>
      </c>
      <c r="F76" s="1">
        <v>6.0795000000000003</v>
      </c>
      <c r="G76" s="1">
        <v>4.4332000000000003</v>
      </c>
      <c r="H76" s="1">
        <v>5.7121000000000004</v>
      </c>
      <c r="I76" s="1">
        <v>5.5613000000000001</v>
      </c>
      <c r="J76" s="1">
        <v>4.8684000000000003</v>
      </c>
      <c r="K76" s="1">
        <v>4.1753999999999998</v>
      </c>
      <c r="L76" s="1">
        <v>5.4878</v>
      </c>
      <c r="M76" s="1">
        <v>7.1874000000000002</v>
      </c>
      <c r="N76" s="1">
        <v>5.7172000000000001</v>
      </c>
      <c r="O76" s="1">
        <v>4.2561999999999998</v>
      </c>
      <c r="P76" s="1">
        <v>5.0115999999999996</v>
      </c>
      <c r="Q76" s="1">
        <v>5.0538000000000007</v>
      </c>
      <c r="R76" s="1">
        <v>5.1848999999999998</v>
      </c>
      <c r="S76" s="1">
        <v>5.125</v>
      </c>
      <c r="T76" s="1">
        <v>5.0581999999999994</v>
      </c>
    </row>
    <row r="77" spans="2:20" x14ac:dyDescent="0.25">
      <c r="B77" t="s">
        <v>17</v>
      </c>
      <c r="C77" s="1"/>
      <c r="D77" s="1"/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0.5</v>
      </c>
      <c r="O77" s="1">
        <v>0.5</v>
      </c>
      <c r="P77" s="1">
        <v>0</v>
      </c>
      <c r="Q77" s="1">
        <v>0.5</v>
      </c>
      <c r="R77" s="1">
        <v>0.5</v>
      </c>
      <c r="S77" s="1">
        <v>0.5</v>
      </c>
      <c r="T77" s="1">
        <v>0.5</v>
      </c>
    </row>
    <row r="78" spans="2:20" x14ac:dyDescent="0.25">
      <c r="B78" t="s">
        <v>18</v>
      </c>
      <c r="C78" s="1"/>
      <c r="D78" s="1"/>
      <c r="E78" s="1">
        <v>0</v>
      </c>
      <c r="F78" s="1">
        <v>1.4910000000000001</v>
      </c>
      <c r="G78" s="1">
        <v>2.1659999999999999</v>
      </c>
      <c r="H78" s="1">
        <v>2.7930000000000001</v>
      </c>
      <c r="I78" s="1">
        <v>2.44</v>
      </c>
      <c r="J78" s="1">
        <v>2.629</v>
      </c>
      <c r="K78" s="1">
        <v>2.8220000000000001</v>
      </c>
      <c r="L78" s="1">
        <v>3.0990000000000002</v>
      </c>
      <c r="M78" s="1">
        <v>3.3410000000000002</v>
      </c>
      <c r="N78" s="1">
        <v>3.5609999999999999</v>
      </c>
      <c r="O78" s="1">
        <v>2.8551000000000002</v>
      </c>
      <c r="P78" s="1">
        <v>2.1493000000000002</v>
      </c>
      <c r="Q78" s="1">
        <v>2.4142999999999999</v>
      </c>
      <c r="R78" s="1">
        <v>2.1400999999999999</v>
      </c>
      <c r="S78" s="1">
        <v>2.4026000000000001</v>
      </c>
      <c r="T78" s="1">
        <v>2.1560000000000001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7.7666000000000004</v>
      </c>
      <c r="G79" s="1">
        <f t="shared" si="3"/>
        <v>7.1506000000000007</v>
      </c>
      <c r="H79" s="1">
        <f t="shared" si="3"/>
        <v>8.7957000000000001</v>
      </c>
      <c r="I79" s="1">
        <f t="shared" si="3"/>
        <v>8.2628000000000004</v>
      </c>
      <c r="J79" s="1">
        <f t="shared" si="3"/>
        <v>8.0112000000000005</v>
      </c>
      <c r="K79" s="1">
        <f t="shared" si="3"/>
        <v>7.0746000000000002</v>
      </c>
      <c r="L79" s="1">
        <f t="shared" si="3"/>
        <v>9.0705999999999989</v>
      </c>
      <c r="M79" s="1">
        <f t="shared" si="3"/>
        <v>10.722200000000001</v>
      </c>
      <c r="N79" s="1">
        <f t="shared" si="3"/>
        <v>9.9296000000000006</v>
      </c>
      <c r="O79" s="1">
        <f t="shared" si="3"/>
        <v>8.6681999999999988</v>
      </c>
      <c r="P79" s="1">
        <f t="shared" si="3"/>
        <v>7.7936999999999994</v>
      </c>
      <c r="Q79" s="1">
        <f t="shared" si="3"/>
        <v>8.4993000000000016</v>
      </c>
      <c r="R79" s="1">
        <f t="shared" si="3"/>
        <v>8.7965999999999998</v>
      </c>
      <c r="S79" s="1">
        <f t="shared" si="3"/>
        <v>8.6366999999999994</v>
      </c>
      <c r="T79" s="1">
        <f t="shared" si="3"/>
        <v>8.0461999999999989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30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25">
      <c r="B10" t="s">
        <v>10</v>
      </c>
      <c r="C10" s="1"/>
      <c r="D10" s="1"/>
      <c r="E10" s="1"/>
      <c r="F10" s="1">
        <v>18.544793777999839</v>
      </c>
      <c r="G10" s="5">
        <f>(F10+H10)/2</f>
        <v>17.828014398999869</v>
      </c>
      <c r="H10" s="1">
        <v>17.111235019999899</v>
      </c>
      <c r="I10" s="5">
        <f>(H10+J10)/2</f>
        <v>19.316120068999926</v>
      </c>
      <c r="J10" s="1">
        <v>21.521005117999952</v>
      </c>
      <c r="K10" s="5">
        <f>(J10+L10)/2</f>
        <v>22.686128557999961</v>
      </c>
      <c r="L10" s="1">
        <v>23.85125199799997</v>
      </c>
      <c r="M10" s="5">
        <f>(L10+N10)/2</f>
        <v>25.63361199199996</v>
      </c>
      <c r="N10" s="1">
        <v>27.415971985999949</v>
      </c>
      <c r="O10" s="5">
        <f>(N10+P10)/2</f>
        <v>29.486273536000013</v>
      </c>
      <c r="P10" s="1">
        <v>31.55657508600008</v>
      </c>
      <c r="Q10" s="5">
        <f>(P10+R10)/2</f>
        <v>33.403402796000115</v>
      </c>
      <c r="R10" s="1">
        <v>35.25023050600015</v>
      </c>
      <c r="S10" s="5">
        <f>(R10+T10)/2</f>
        <v>35.413137151000129</v>
      </c>
      <c r="T10" s="1">
        <v>35.576043796000107</v>
      </c>
    </row>
    <row r="11" spans="2:20" x14ac:dyDescent="0.25">
      <c r="B11" t="s">
        <v>11</v>
      </c>
      <c r="C11" s="1"/>
      <c r="D11" s="1"/>
      <c r="E11" s="1"/>
      <c r="F11" s="1">
        <v>57.236831483999993</v>
      </c>
      <c r="G11" s="5">
        <f>(F11+H11)/2</f>
        <v>57.328548191999992</v>
      </c>
      <c r="H11" s="1">
        <v>57.420264899999992</v>
      </c>
      <c r="I11" s="5">
        <f>(H11+J11)/2</f>
        <v>57.415919671999987</v>
      </c>
      <c r="J11" s="1">
        <v>57.411574443999982</v>
      </c>
      <c r="K11" s="5">
        <f>(J11+L11)/2</f>
        <v>57.411112545999984</v>
      </c>
      <c r="L11" s="1">
        <v>57.410650647999987</v>
      </c>
      <c r="M11" s="5">
        <f>(L11+N11)/2</f>
        <v>57.432830179999996</v>
      </c>
      <c r="N11" s="1">
        <v>57.455009712000013</v>
      </c>
      <c r="O11" s="5">
        <f>(N11+P11)/2</f>
        <v>57.437723916000024</v>
      </c>
      <c r="P11" s="1">
        <v>57.420438120000028</v>
      </c>
      <c r="Q11" s="5">
        <f>(P11+R11)/2</f>
        <v>57.420011973000022</v>
      </c>
      <c r="R11" s="1">
        <v>57.419585826000016</v>
      </c>
      <c r="S11" s="5">
        <f>(R11+T11)/2</f>
        <v>57.432208764000009</v>
      </c>
      <c r="T11" s="1">
        <v>57.444831702000009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B13" t="s">
        <v>13</v>
      </c>
      <c r="C13" s="1"/>
      <c r="D13" s="1"/>
      <c r="E13" s="1"/>
      <c r="F13" s="1">
        <v>369.4496356639994</v>
      </c>
      <c r="G13" s="5">
        <f>(F13+H13)/2</f>
        <v>367.32029040999942</v>
      </c>
      <c r="H13" s="1">
        <v>365.19094515599949</v>
      </c>
      <c r="I13" s="5">
        <f>(H13+J13)/2</f>
        <v>363.24670856999978</v>
      </c>
      <c r="J13" s="1">
        <v>361.30247198400008</v>
      </c>
      <c r="K13" s="5">
        <f>(J13+L13)/2</f>
        <v>361.25261362600008</v>
      </c>
      <c r="L13" s="1">
        <v>361.20275526800009</v>
      </c>
      <c r="M13" s="5">
        <f>(L13+N13)/2</f>
        <v>361.3271682670001</v>
      </c>
      <c r="N13" s="1">
        <v>361.45158126600012</v>
      </c>
      <c r="O13" s="5">
        <f>(N13+P13)/2</f>
        <v>360.03208683200035</v>
      </c>
      <c r="P13" s="1">
        <v>358.61259239800057</v>
      </c>
      <c r="Q13" s="5">
        <f>(P13+R13)/2</f>
        <v>359.29617490400068</v>
      </c>
      <c r="R13" s="1">
        <v>359.97975741000079</v>
      </c>
      <c r="S13" s="5">
        <f>(R13+T13)/2</f>
        <v>361.63600321500053</v>
      </c>
      <c r="T13" s="1">
        <v>363.29224902000033</v>
      </c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7.4293920359999284</v>
      </c>
      <c r="G15" s="5">
        <f>(F15+H15)/2</f>
        <v>7.5173776919999433</v>
      </c>
      <c r="H15" s="1">
        <v>7.6053633479999583</v>
      </c>
      <c r="I15" s="5">
        <f>(H15+J15)/2</f>
        <v>7.7586602769999509</v>
      </c>
      <c r="J15" s="1">
        <v>7.9119572059999426</v>
      </c>
      <c r="K15" s="5">
        <f>(J15+L15)/2</f>
        <v>7.9119835419999438</v>
      </c>
      <c r="L15" s="1">
        <v>7.912009877999945</v>
      </c>
      <c r="M15" s="5">
        <f>(L15+N15)/2</f>
        <v>7.9064884799999469</v>
      </c>
      <c r="N15" s="1">
        <v>7.9009670819999478</v>
      </c>
      <c r="O15" s="5">
        <f>(N15+P15)/2</f>
        <v>8.1432049489999407</v>
      </c>
      <c r="P15" s="1">
        <v>8.3854428159999337</v>
      </c>
      <c r="Q15" s="5">
        <f>(P15+R15)/2</f>
        <v>8.6785011829999306</v>
      </c>
      <c r="R15" s="1">
        <v>8.9715595499999274</v>
      </c>
      <c r="S15" s="5">
        <f>(R15+T15)/2</f>
        <v>9.2528882519999325</v>
      </c>
      <c r="T15" s="1">
        <v>9.5342169539999375</v>
      </c>
    </row>
    <row r="16" spans="2:20" x14ac:dyDescent="0.25">
      <c r="B16" t="s">
        <v>16</v>
      </c>
      <c r="C16" s="1"/>
      <c r="D16" s="1"/>
      <c r="E16" s="1"/>
      <c r="F16" s="1">
        <v>45.527481767999987</v>
      </c>
      <c r="G16" s="5">
        <f>(F16+H16)/2</f>
        <v>47.379311375</v>
      </c>
      <c r="H16" s="1">
        <v>49.231140982000007</v>
      </c>
      <c r="I16" s="5">
        <f>(H16+J16)/2</f>
        <v>53.486102240000022</v>
      </c>
      <c r="J16" s="1">
        <v>57.741063498000031</v>
      </c>
      <c r="K16" s="5">
        <f>(J16+L16)/2</f>
        <v>62.012207092000011</v>
      </c>
      <c r="L16" s="1">
        <v>66.283350685999991</v>
      </c>
      <c r="M16" s="5">
        <f>(L16+N16)/2</f>
        <v>71.551771521000006</v>
      </c>
      <c r="N16" s="1">
        <v>76.820192356000035</v>
      </c>
      <c r="O16" s="5">
        <f>(N16+P16)/2</f>
        <v>83.319904801000007</v>
      </c>
      <c r="P16" s="1">
        <v>89.819617245999979</v>
      </c>
      <c r="Q16" s="5">
        <f>(P16+R16)/2</f>
        <v>96.149028233999942</v>
      </c>
      <c r="R16" s="1">
        <v>102.47843922199991</v>
      </c>
      <c r="S16" s="5">
        <f>(R16+T16)/2</f>
        <v>110.00677555699991</v>
      </c>
      <c r="T16" s="1">
        <v>117.5351118919999</v>
      </c>
    </row>
    <row r="17" spans="2:20" x14ac:dyDescent="0.25">
      <c r="B17" t="s">
        <v>17</v>
      </c>
      <c r="C17" s="1"/>
      <c r="D17" s="1"/>
      <c r="E17" s="1"/>
      <c r="F17" s="1">
        <v>5.9260191000000004</v>
      </c>
      <c r="G17" s="5">
        <f>(F17+H17)/2</f>
        <v>6.6255207260000004</v>
      </c>
      <c r="H17" s="1">
        <v>7.3250223520000004</v>
      </c>
      <c r="I17" s="5">
        <f>(H17+J17)/2</f>
        <v>7.9987077759999998</v>
      </c>
      <c r="J17" s="1">
        <v>8.6723931999999984</v>
      </c>
      <c r="K17" s="5">
        <f>(J17+L17)/2</f>
        <v>11.196051739</v>
      </c>
      <c r="L17" s="1">
        <v>13.719710278000001</v>
      </c>
      <c r="M17" s="5">
        <f>(L17+N17)/2</f>
        <v>16.292586536000002</v>
      </c>
      <c r="N17" s="1">
        <v>18.865462793999999</v>
      </c>
      <c r="O17" s="5">
        <f>(N17+P17)/2</f>
        <v>19.972854531999999</v>
      </c>
      <c r="P17" s="1">
        <v>21.08024627</v>
      </c>
      <c r="Q17" s="5">
        <f>(P17+R17)/2</f>
        <v>24.396207389999994</v>
      </c>
      <c r="R17" s="1">
        <v>27.712168509999991</v>
      </c>
      <c r="S17" s="5">
        <f>(R17+T17)/2</f>
        <v>29.746582513999989</v>
      </c>
      <c r="T17" s="1">
        <v>31.780996517999991</v>
      </c>
    </row>
    <row r="18" spans="2:20" x14ac:dyDescent="0.25">
      <c r="B18" t="s">
        <v>18</v>
      </c>
      <c r="C18" s="1"/>
      <c r="D18" s="1"/>
      <c r="E18" s="1"/>
      <c r="F18" s="1">
        <v>47.282108492000013</v>
      </c>
      <c r="G18" s="5">
        <f>(F18+H18)/2</f>
        <v>48.332494747000005</v>
      </c>
      <c r="H18" s="1">
        <v>49.382881001999998</v>
      </c>
      <c r="I18" s="5">
        <f>(H18+J18)/2</f>
        <v>50.942932796999997</v>
      </c>
      <c r="J18" s="1">
        <v>52.502984591999997</v>
      </c>
      <c r="K18" s="5">
        <f>(J18+L18)/2</f>
        <v>53.980415167999993</v>
      </c>
      <c r="L18" s="1">
        <v>55.457845743999982</v>
      </c>
      <c r="M18" s="5">
        <f>(L18+N18)/2</f>
        <v>57.67481677699999</v>
      </c>
      <c r="N18" s="1">
        <v>59.891787809999997</v>
      </c>
      <c r="O18" s="5">
        <f>(N18+P18)/2</f>
        <v>61.678650250000018</v>
      </c>
      <c r="P18" s="1">
        <v>63.465512690000033</v>
      </c>
      <c r="Q18" s="5">
        <f>(P18+R18)/2</f>
        <v>65.427125818000022</v>
      </c>
      <c r="R18" s="1">
        <v>67.388738946000018</v>
      </c>
      <c r="S18" s="5">
        <f>(R18+T18)/2</f>
        <v>69.619743631000034</v>
      </c>
      <c r="T18" s="1">
        <v>71.85074831600005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551.39626232199907</v>
      </c>
      <c r="G19" s="5">
        <f t="shared" si="0"/>
        <v>552.33155754099926</v>
      </c>
      <c r="H19" s="1">
        <f t="shared" si="0"/>
        <v>553.26685275999932</v>
      </c>
      <c r="I19" s="5">
        <f t="shared" si="0"/>
        <v>560.16515140099966</v>
      </c>
      <c r="J19" s="1">
        <f t="shared" si="0"/>
        <v>567.063450042</v>
      </c>
      <c r="K19" s="5">
        <f t="shared" si="0"/>
        <v>576.45051227100009</v>
      </c>
      <c r="L19" s="1">
        <f t="shared" si="0"/>
        <v>585.83757449999996</v>
      </c>
      <c r="M19" s="5">
        <f t="shared" si="0"/>
        <v>597.81927375300006</v>
      </c>
      <c r="N19" s="1">
        <f t="shared" si="0"/>
        <v>609.80097300600005</v>
      </c>
      <c r="O19" s="5">
        <f t="shared" si="0"/>
        <v>620.07069881600046</v>
      </c>
      <c r="P19" s="1">
        <f t="shared" si="0"/>
        <v>630.34042462600064</v>
      </c>
      <c r="Q19" s="5">
        <f t="shared" si="0"/>
        <v>644.77045229800069</v>
      </c>
      <c r="R19" s="1">
        <f t="shared" si="0"/>
        <v>659.20047997000074</v>
      </c>
      <c r="S19" s="5">
        <f t="shared" si="0"/>
        <v>673.1073390840005</v>
      </c>
      <c r="T19" s="1">
        <f t="shared" si="0"/>
        <v>687.01419819800026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79"/>
  <sheetViews>
    <sheetView topLeftCell="A55" workbookViewId="0">
      <selection activeCell="E69" sqref="E69:T69"/>
    </sheetView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30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1.8109999999999999</v>
      </c>
      <c r="F9" s="1">
        <v>1.7385999999999999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2:20" x14ac:dyDescent="0.25">
      <c r="B10" t="s">
        <v>10</v>
      </c>
      <c r="C10" s="1"/>
      <c r="D10" s="1"/>
      <c r="E10" s="1">
        <v>12.788</v>
      </c>
      <c r="F10" s="1">
        <v>12.8925</v>
      </c>
      <c r="G10" s="1">
        <v>13.029500000000001</v>
      </c>
      <c r="H10" s="1">
        <v>13.834300000000001</v>
      </c>
      <c r="I10" s="1">
        <v>14.039899999999999</v>
      </c>
      <c r="J10" s="1">
        <v>14.7728</v>
      </c>
      <c r="K10" s="1">
        <v>15.374700000000001</v>
      </c>
      <c r="L10" s="1">
        <v>15.397</v>
      </c>
      <c r="M10" s="1">
        <v>16.1387</v>
      </c>
      <c r="N10" s="1">
        <v>16.6114</v>
      </c>
      <c r="O10" s="1">
        <v>17.8018</v>
      </c>
      <c r="P10" s="1">
        <v>18.5548</v>
      </c>
      <c r="Q10" s="1">
        <v>19.362300000000001</v>
      </c>
      <c r="R10" s="1">
        <v>20.174900000000001</v>
      </c>
      <c r="S10" s="1">
        <v>20.987400000000001</v>
      </c>
      <c r="T10" s="1">
        <v>21</v>
      </c>
    </row>
    <row r="11" spans="2:20" x14ac:dyDescent="0.25">
      <c r="B11" t="s">
        <v>11</v>
      </c>
      <c r="C11" s="1"/>
      <c r="D11" s="1"/>
      <c r="E11" s="1">
        <v>20.527999999999999</v>
      </c>
      <c r="F11" s="1">
        <v>20.687999999999999</v>
      </c>
      <c r="G11" s="1">
        <v>20.847999999999999</v>
      </c>
      <c r="H11" s="1">
        <v>21.007999999999999</v>
      </c>
      <c r="I11" s="1">
        <v>21.167999999999999</v>
      </c>
      <c r="J11" s="1">
        <v>21.248000000000001</v>
      </c>
      <c r="K11" s="1">
        <v>21.248000000000001</v>
      </c>
      <c r="L11" s="1">
        <v>21.248000000000001</v>
      </c>
      <c r="M11" s="1">
        <v>21.248000000000001</v>
      </c>
      <c r="N11" s="1">
        <v>21.248000000000001</v>
      </c>
      <c r="O11" s="1">
        <v>21.273</v>
      </c>
      <c r="P11" s="1">
        <v>21.323</v>
      </c>
      <c r="Q11" s="1">
        <v>21.373000000000001</v>
      </c>
      <c r="R11" s="1">
        <v>21.373000000000001</v>
      </c>
      <c r="S11" s="1">
        <v>21.422999999999998</v>
      </c>
      <c r="T11" s="1">
        <v>21.472999999999999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2:20" x14ac:dyDescent="0.25">
      <c r="B13" t="s">
        <v>13</v>
      </c>
      <c r="C13" s="1"/>
      <c r="D13" s="1">
        <v>62.97</v>
      </c>
      <c r="E13" s="1">
        <v>62.97</v>
      </c>
      <c r="F13" s="1">
        <v>62.97</v>
      </c>
      <c r="G13" s="1">
        <v>62.97</v>
      </c>
      <c r="H13" s="1">
        <v>62.97</v>
      </c>
      <c r="I13" s="1">
        <v>62.97</v>
      </c>
      <c r="J13" s="1">
        <v>62.06</v>
      </c>
      <c r="K13" s="1">
        <v>62.06</v>
      </c>
      <c r="L13" s="1">
        <v>62.06</v>
      </c>
      <c r="M13" s="1">
        <v>62.06</v>
      </c>
      <c r="N13" s="1">
        <v>62.06</v>
      </c>
      <c r="O13" s="1">
        <v>61.15</v>
      </c>
      <c r="P13" s="1">
        <v>61.15</v>
      </c>
      <c r="Q13" s="1">
        <v>61.15</v>
      </c>
      <c r="R13" s="1">
        <v>61.15</v>
      </c>
      <c r="S13" s="1">
        <v>61.15</v>
      </c>
      <c r="T13" s="1">
        <v>61.8</v>
      </c>
    </row>
    <row r="14" spans="2:20" x14ac:dyDescent="0.25">
      <c r="B14" t="s">
        <v>14</v>
      </c>
      <c r="C14" s="1"/>
      <c r="D14" s="1"/>
      <c r="E14" s="1">
        <v>2.9790000000000001</v>
      </c>
      <c r="F14" s="1">
        <v>2.9790000000000001</v>
      </c>
      <c r="G14" s="1">
        <v>2.9790000000000001</v>
      </c>
      <c r="H14" s="1">
        <v>2.9790000000000001</v>
      </c>
      <c r="I14" s="1">
        <v>2.9790000000000001</v>
      </c>
      <c r="J14" s="1">
        <v>2.9540000000000002</v>
      </c>
      <c r="K14" s="1">
        <v>2.9039999999999999</v>
      </c>
      <c r="L14" s="1">
        <v>2.8039999999999998</v>
      </c>
      <c r="M14" s="1">
        <v>2.754</v>
      </c>
      <c r="N14" s="1">
        <v>2.6539999999999999</v>
      </c>
      <c r="O14" s="1">
        <v>2.5539999999999998</v>
      </c>
      <c r="P14" s="1">
        <v>2.4540000000000002</v>
      </c>
      <c r="Q14" s="1">
        <v>2.4039999999999999</v>
      </c>
      <c r="R14" s="1">
        <v>2.3540000000000001</v>
      </c>
      <c r="S14" s="1">
        <v>2.3039999999999998</v>
      </c>
      <c r="T14" s="1">
        <v>2.254</v>
      </c>
    </row>
    <row r="15" spans="2:20" x14ac:dyDescent="0.25">
      <c r="B15" t="s">
        <v>15</v>
      </c>
      <c r="C15" s="1"/>
      <c r="D15" s="1"/>
      <c r="E15" s="1">
        <v>2.3149999999999999</v>
      </c>
      <c r="F15" s="1">
        <v>2.3650000000000002</v>
      </c>
      <c r="G15" s="1">
        <v>2.415</v>
      </c>
      <c r="H15" s="1">
        <v>2.4649999999999999</v>
      </c>
      <c r="I15" s="1">
        <v>2.5499999999999998</v>
      </c>
      <c r="J15" s="1">
        <v>2.5924999999999998</v>
      </c>
      <c r="K15" s="1">
        <v>2.5924999999999998</v>
      </c>
      <c r="L15" s="1">
        <v>2.5924999999999998</v>
      </c>
      <c r="M15" s="1">
        <v>2.5924999999999998</v>
      </c>
      <c r="N15" s="1">
        <v>2.5924999999999998</v>
      </c>
      <c r="O15" s="1">
        <v>2.6549999999999998</v>
      </c>
      <c r="P15" s="1">
        <v>2.78</v>
      </c>
      <c r="Q15" s="1">
        <v>2.9</v>
      </c>
      <c r="R15" s="1">
        <v>3.02</v>
      </c>
      <c r="S15" s="1">
        <v>3.14</v>
      </c>
      <c r="T15" s="1">
        <v>3.26</v>
      </c>
    </row>
    <row r="16" spans="2:20" x14ac:dyDescent="0.25">
      <c r="B16" t="s">
        <v>16</v>
      </c>
      <c r="C16" s="1"/>
      <c r="D16" s="1"/>
      <c r="E16" s="1">
        <v>37.6</v>
      </c>
      <c r="F16" s="1">
        <v>43.089399999999998</v>
      </c>
      <c r="G16" s="1">
        <v>45.747900000000001</v>
      </c>
      <c r="H16" s="1">
        <v>48.393599999999999</v>
      </c>
      <c r="I16" s="1">
        <v>51.069899999999997</v>
      </c>
      <c r="J16" s="1">
        <v>54.309100000000001</v>
      </c>
      <c r="K16" s="1">
        <v>58.1113</v>
      </c>
      <c r="L16" s="1">
        <v>61.316600000000001</v>
      </c>
      <c r="M16" s="1">
        <v>65.441199999999995</v>
      </c>
      <c r="N16" s="1">
        <v>68.862799999999993</v>
      </c>
      <c r="O16" s="1">
        <v>72.502600000000001</v>
      </c>
      <c r="P16" s="1">
        <v>77.559100000000001</v>
      </c>
      <c r="Q16" s="1">
        <v>82.722099999999998</v>
      </c>
      <c r="R16" s="1">
        <v>87.779300000000006</v>
      </c>
      <c r="S16" s="1">
        <v>93.092100000000002</v>
      </c>
      <c r="T16" s="1">
        <v>99.98599999999999</v>
      </c>
    </row>
    <row r="17" spans="2:20" x14ac:dyDescent="0.25">
      <c r="B17" t="s">
        <v>17</v>
      </c>
      <c r="C17" s="1"/>
      <c r="D17" s="1"/>
      <c r="E17" s="1">
        <v>1.028</v>
      </c>
      <c r="F17" s="1">
        <v>1.718</v>
      </c>
      <c r="G17" s="1">
        <v>1.8879999999999999</v>
      </c>
      <c r="H17" s="1">
        <v>2.1680000000000001</v>
      </c>
      <c r="I17" s="1">
        <v>2.1680000000000001</v>
      </c>
      <c r="J17" s="1">
        <v>2.5430000000000001</v>
      </c>
      <c r="K17" s="1">
        <v>3.2930000000000001</v>
      </c>
      <c r="L17" s="1">
        <v>4.0430000000000001</v>
      </c>
      <c r="M17" s="1">
        <v>4.7930000000000001</v>
      </c>
      <c r="N17" s="1">
        <v>5.5430000000000001</v>
      </c>
      <c r="O17" s="1">
        <v>5.9180000000000001</v>
      </c>
      <c r="P17" s="1">
        <v>6.1344000000000003</v>
      </c>
      <c r="Q17" s="1">
        <v>7.1007999999999996</v>
      </c>
      <c r="R17" s="1">
        <v>8.0671999999999997</v>
      </c>
      <c r="S17" s="1">
        <v>9.0335999999999999</v>
      </c>
      <c r="T17" s="1">
        <v>9.25</v>
      </c>
    </row>
    <row r="18" spans="2:20" x14ac:dyDescent="0.25">
      <c r="B18" t="s">
        <v>18</v>
      </c>
      <c r="C18" s="1"/>
      <c r="D18" s="1"/>
      <c r="E18" s="1">
        <v>24.04</v>
      </c>
      <c r="F18" s="1">
        <v>24.78</v>
      </c>
      <c r="G18" s="1">
        <v>25.46</v>
      </c>
      <c r="H18" s="1">
        <v>26.15</v>
      </c>
      <c r="I18" s="1">
        <v>26.85</v>
      </c>
      <c r="J18" s="1">
        <v>27.55</v>
      </c>
      <c r="K18" s="1">
        <v>28.25</v>
      </c>
      <c r="L18" s="1">
        <v>29.02</v>
      </c>
      <c r="M18" s="1">
        <v>30.11</v>
      </c>
      <c r="N18" s="1">
        <v>31.19</v>
      </c>
      <c r="O18" s="1">
        <v>31.883400000000002</v>
      </c>
      <c r="P18" s="1">
        <v>32.771599999999999</v>
      </c>
      <c r="Q18" s="1">
        <v>33.7455</v>
      </c>
      <c r="R18" s="1">
        <v>34.743099999999998</v>
      </c>
      <c r="S18" s="1">
        <v>35.593699999999998</v>
      </c>
      <c r="T18" s="1">
        <v>37</v>
      </c>
    </row>
    <row r="19" spans="2:20" x14ac:dyDescent="0.25">
      <c r="B19" t="s">
        <v>19</v>
      </c>
      <c r="C19" s="1"/>
      <c r="D19" s="1">
        <f t="shared" ref="D19:T19" si="0">SUM(D9:D18)</f>
        <v>62.97</v>
      </c>
      <c r="E19" s="1">
        <f t="shared" si="0"/>
        <v>166.05899999999997</v>
      </c>
      <c r="F19" s="1">
        <f t="shared" si="0"/>
        <v>173.22049999999996</v>
      </c>
      <c r="G19" s="1">
        <f t="shared" si="0"/>
        <v>175.3374</v>
      </c>
      <c r="H19" s="1">
        <f t="shared" si="0"/>
        <v>179.96790000000001</v>
      </c>
      <c r="I19" s="1">
        <f t="shared" si="0"/>
        <v>183.79479999999998</v>
      </c>
      <c r="J19" s="1">
        <f t="shared" si="0"/>
        <v>188.02940000000001</v>
      </c>
      <c r="K19" s="1">
        <f t="shared" si="0"/>
        <v>193.83350000000002</v>
      </c>
      <c r="L19" s="1">
        <f t="shared" si="0"/>
        <v>198.48110000000003</v>
      </c>
      <c r="M19" s="1">
        <f t="shared" si="0"/>
        <v>205.13740000000001</v>
      </c>
      <c r="N19" s="1">
        <f t="shared" si="0"/>
        <v>210.76169999999999</v>
      </c>
      <c r="O19" s="1">
        <f t="shared" si="0"/>
        <v>215.73779999999999</v>
      </c>
      <c r="P19" s="1">
        <f t="shared" si="0"/>
        <v>222.7269</v>
      </c>
      <c r="Q19" s="1">
        <f t="shared" si="0"/>
        <v>230.7577</v>
      </c>
      <c r="R19" s="1">
        <f t="shared" si="0"/>
        <v>238.66150000000002</v>
      </c>
      <c r="S19" s="1">
        <f t="shared" si="0"/>
        <v>246.72379999999998</v>
      </c>
      <c r="T19" s="1">
        <f t="shared" si="0"/>
        <v>256.02300000000002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30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-7.2400000000000006E-2</v>
      </c>
      <c r="G29" s="1">
        <v>-1.7385999999999999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2:20" x14ac:dyDescent="0.25">
      <c r="B30" t="s">
        <v>10</v>
      </c>
      <c r="C30" s="1"/>
      <c r="D30" s="1"/>
      <c r="E30" s="1">
        <v>0</v>
      </c>
      <c r="F30" s="1">
        <v>0.1045</v>
      </c>
      <c r="G30" s="1">
        <v>0.13700000000000001</v>
      </c>
      <c r="H30" s="1">
        <v>0.80479999999999996</v>
      </c>
      <c r="I30" s="1">
        <v>0.2056</v>
      </c>
      <c r="J30" s="1">
        <v>0.7329</v>
      </c>
      <c r="K30" s="1">
        <v>0.60189999999999999</v>
      </c>
      <c r="L30" s="1">
        <v>2.23E-2</v>
      </c>
      <c r="M30" s="1">
        <v>0.74170000000000003</v>
      </c>
      <c r="N30" s="1">
        <v>0.47270000000000001</v>
      </c>
      <c r="O30" s="1">
        <v>1.1903999999999999</v>
      </c>
      <c r="P30" s="1">
        <v>0.753</v>
      </c>
      <c r="Q30" s="1">
        <v>0.8075</v>
      </c>
      <c r="R30" s="1">
        <v>0.81259999999999999</v>
      </c>
      <c r="S30" s="1">
        <v>0.8125</v>
      </c>
      <c r="T30" s="1">
        <v>1.26E-2</v>
      </c>
    </row>
    <row r="31" spans="2:20" x14ac:dyDescent="0.25">
      <c r="B31" t="s">
        <v>11</v>
      </c>
      <c r="C31" s="1"/>
      <c r="D31" s="1"/>
      <c r="E31" s="1">
        <v>0</v>
      </c>
      <c r="F31" s="1">
        <v>0.16</v>
      </c>
      <c r="G31" s="1">
        <v>0.16</v>
      </c>
      <c r="H31" s="1">
        <v>0.16</v>
      </c>
      <c r="I31" s="1">
        <v>0.16</v>
      </c>
      <c r="J31" s="1">
        <v>0.08</v>
      </c>
      <c r="K31" s="1">
        <v>0</v>
      </c>
      <c r="L31" s="1">
        <v>0</v>
      </c>
      <c r="M31" s="1">
        <v>0</v>
      </c>
      <c r="N31" s="1">
        <v>0</v>
      </c>
      <c r="O31" s="1">
        <v>2.5000000000000001E-2</v>
      </c>
      <c r="P31" s="1">
        <v>0.05</v>
      </c>
      <c r="Q31" s="1">
        <v>0.05</v>
      </c>
      <c r="R31" s="1">
        <v>0</v>
      </c>
      <c r="S31" s="1">
        <v>0.05</v>
      </c>
      <c r="T31" s="1">
        <v>0.05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-0.91</v>
      </c>
      <c r="K33" s="1">
        <v>0</v>
      </c>
      <c r="L33" s="1">
        <v>0</v>
      </c>
      <c r="M33" s="1">
        <v>0</v>
      </c>
      <c r="N33" s="1">
        <v>0</v>
      </c>
      <c r="O33" s="1">
        <v>-0.91</v>
      </c>
      <c r="P33" s="1">
        <v>0</v>
      </c>
      <c r="Q33" s="1">
        <v>0</v>
      </c>
      <c r="R33" s="1">
        <v>0</v>
      </c>
      <c r="S33" s="1">
        <v>0</v>
      </c>
      <c r="T33" s="1">
        <v>0.65</v>
      </c>
    </row>
    <row r="34" spans="2:20" x14ac:dyDescent="0.25">
      <c r="B34" t="s">
        <v>14</v>
      </c>
      <c r="C34" s="1"/>
      <c r="D34" s="1"/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-2.5000000000000001E-2</v>
      </c>
      <c r="K34" s="1">
        <v>-0.05</v>
      </c>
      <c r="L34" s="1">
        <v>-0.1</v>
      </c>
      <c r="M34" s="1">
        <v>-0.05</v>
      </c>
      <c r="N34" s="1">
        <v>-0.1</v>
      </c>
      <c r="O34" s="1">
        <v>-0.1</v>
      </c>
      <c r="P34" s="1">
        <v>-0.1</v>
      </c>
      <c r="Q34" s="1">
        <v>-0.05</v>
      </c>
      <c r="R34" s="1">
        <v>-0.05</v>
      </c>
      <c r="S34" s="1">
        <v>-0.05</v>
      </c>
      <c r="T34" s="1">
        <v>-0.05</v>
      </c>
    </row>
    <row r="35" spans="2:20" x14ac:dyDescent="0.25">
      <c r="B35" t="s">
        <v>15</v>
      </c>
      <c r="C35" s="1"/>
      <c r="D35" s="1"/>
      <c r="E35" s="1">
        <v>0</v>
      </c>
      <c r="F35" s="1">
        <v>0.05</v>
      </c>
      <c r="G35" s="1">
        <v>0.05</v>
      </c>
      <c r="H35" s="1">
        <v>0.05</v>
      </c>
      <c r="I35" s="1">
        <v>8.5000000000000006E-2</v>
      </c>
      <c r="J35" s="1">
        <v>4.2500000000000003E-2</v>
      </c>
      <c r="K35" s="1">
        <v>0</v>
      </c>
      <c r="L35" s="1">
        <v>0</v>
      </c>
      <c r="M35" s="1">
        <v>0</v>
      </c>
      <c r="N35" s="1">
        <v>0</v>
      </c>
      <c r="O35" s="1">
        <v>6.25E-2</v>
      </c>
      <c r="P35" s="1">
        <v>0.125</v>
      </c>
      <c r="Q35" s="1">
        <v>0.12</v>
      </c>
      <c r="R35" s="1">
        <v>0.12</v>
      </c>
      <c r="S35" s="1">
        <v>0.12</v>
      </c>
      <c r="T35" s="1">
        <v>0.12</v>
      </c>
    </row>
    <row r="36" spans="2:20" x14ac:dyDescent="0.25">
      <c r="B36" t="s">
        <v>16</v>
      </c>
      <c r="C36" s="1"/>
      <c r="D36" s="1"/>
      <c r="E36" s="1">
        <v>0</v>
      </c>
      <c r="F36" s="1">
        <v>5.4893999999999998</v>
      </c>
      <c r="G36" s="1">
        <v>2.6585000000000001</v>
      </c>
      <c r="H36" s="1">
        <v>2.6457000000000002</v>
      </c>
      <c r="I36" s="1">
        <v>2.6762999999999999</v>
      </c>
      <c r="J36" s="1">
        <v>3.2391999999999999</v>
      </c>
      <c r="K36" s="1">
        <v>3.8022</v>
      </c>
      <c r="L36" s="1">
        <v>3.2052999999999998</v>
      </c>
      <c r="M36" s="1">
        <v>4.1246</v>
      </c>
      <c r="N36" s="1">
        <v>3.4216000000000002</v>
      </c>
      <c r="O36" s="1">
        <v>3.6398000000000001</v>
      </c>
      <c r="P36" s="1">
        <v>5.0564999999999998</v>
      </c>
      <c r="Q36" s="1">
        <v>5.1630000000000003</v>
      </c>
      <c r="R36" s="1">
        <v>5.0571999999999999</v>
      </c>
      <c r="S36" s="1">
        <v>5.3127999999999993</v>
      </c>
      <c r="T36" s="1">
        <v>6.8938999999999986</v>
      </c>
    </row>
    <row r="37" spans="2:20" x14ac:dyDescent="0.25">
      <c r="B37" t="s">
        <v>17</v>
      </c>
      <c r="C37" s="1"/>
      <c r="D37" s="1"/>
      <c r="E37" s="1">
        <v>0</v>
      </c>
      <c r="F37" s="1">
        <v>0.69</v>
      </c>
      <c r="G37" s="1">
        <v>0.17</v>
      </c>
      <c r="H37" s="1">
        <v>0.28000000000000003</v>
      </c>
      <c r="I37" s="1">
        <v>0</v>
      </c>
      <c r="J37" s="1">
        <v>0.375</v>
      </c>
      <c r="K37" s="1">
        <v>0.75</v>
      </c>
      <c r="L37" s="1">
        <v>0.75</v>
      </c>
      <c r="M37" s="1">
        <v>0.75</v>
      </c>
      <c r="N37" s="1">
        <v>0.75</v>
      </c>
      <c r="O37" s="1">
        <v>0.375</v>
      </c>
      <c r="P37" s="1">
        <v>0.21640000000000001</v>
      </c>
      <c r="Q37" s="1">
        <v>0.96640000000000004</v>
      </c>
      <c r="R37" s="1">
        <v>0.96640000000000004</v>
      </c>
      <c r="S37" s="1">
        <v>0.96640000000000004</v>
      </c>
      <c r="T37" s="1">
        <v>0.21640000000000001</v>
      </c>
    </row>
    <row r="38" spans="2:20" x14ac:dyDescent="0.25">
      <c r="B38" t="s">
        <v>18</v>
      </c>
      <c r="C38" s="1"/>
      <c r="D38" s="1"/>
      <c r="E38" s="1">
        <v>0</v>
      </c>
      <c r="F38" s="1">
        <v>0.74</v>
      </c>
      <c r="G38" s="1">
        <v>0.68</v>
      </c>
      <c r="H38" s="1">
        <v>0.69</v>
      </c>
      <c r="I38" s="1">
        <v>0.7</v>
      </c>
      <c r="J38" s="1">
        <v>0.7</v>
      </c>
      <c r="K38" s="1">
        <v>0.7</v>
      </c>
      <c r="L38" s="1">
        <v>0.77</v>
      </c>
      <c r="M38" s="1">
        <v>1.0900000000000001</v>
      </c>
      <c r="N38" s="1">
        <v>1.08</v>
      </c>
      <c r="O38" s="1">
        <v>0.69340000000000002</v>
      </c>
      <c r="P38" s="1">
        <v>0.88819999999999999</v>
      </c>
      <c r="Q38" s="1">
        <v>0.97389999999999999</v>
      </c>
      <c r="R38" s="1">
        <v>0.99760000000000004</v>
      </c>
      <c r="S38" s="1">
        <v>0.85060000000000002</v>
      </c>
      <c r="T38" s="1">
        <v>1.4063000000000001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7.1615000000000002</v>
      </c>
      <c r="G39" s="1">
        <f t="shared" si="1"/>
        <v>2.1169000000000002</v>
      </c>
      <c r="H39" s="1">
        <f t="shared" si="1"/>
        <v>4.6304999999999996</v>
      </c>
      <c r="I39" s="1">
        <f t="shared" si="1"/>
        <v>3.8269000000000002</v>
      </c>
      <c r="J39" s="1">
        <f t="shared" si="1"/>
        <v>4.2345999999999995</v>
      </c>
      <c r="K39" s="1">
        <f t="shared" si="1"/>
        <v>5.8041</v>
      </c>
      <c r="L39" s="1">
        <f t="shared" si="1"/>
        <v>4.6475999999999997</v>
      </c>
      <c r="M39" s="1">
        <f t="shared" si="1"/>
        <v>6.6562999999999999</v>
      </c>
      <c r="N39" s="1">
        <f t="shared" si="1"/>
        <v>5.6242999999999999</v>
      </c>
      <c r="O39" s="1">
        <f t="shared" si="1"/>
        <v>4.9761000000000006</v>
      </c>
      <c r="P39" s="1">
        <f t="shared" si="1"/>
        <v>6.9891000000000005</v>
      </c>
      <c r="Q39" s="1">
        <f t="shared" si="1"/>
        <v>8.030800000000001</v>
      </c>
      <c r="R39" s="1">
        <f t="shared" si="1"/>
        <v>7.9038000000000004</v>
      </c>
      <c r="S39" s="1">
        <f t="shared" si="1"/>
        <v>8.0623000000000005</v>
      </c>
      <c r="T39" s="1">
        <f t="shared" si="1"/>
        <v>9.299199999999999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30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</v>
      </c>
      <c r="F49" s="1">
        <v>7.2400000000000006E-2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2:20" x14ac:dyDescent="0.25">
      <c r="B50" t="s">
        <v>10</v>
      </c>
      <c r="C50" s="1"/>
      <c r="D50" s="1"/>
      <c r="E50" s="1">
        <v>0</v>
      </c>
      <c r="F50" s="1">
        <v>0</v>
      </c>
      <c r="G50" s="1">
        <v>0</v>
      </c>
      <c r="H50" s="1">
        <v>0</v>
      </c>
      <c r="I50" s="1">
        <v>0.47299999999999998</v>
      </c>
      <c r="J50" s="1">
        <v>0.438</v>
      </c>
      <c r="K50" s="1">
        <v>0</v>
      </c>
      <c r="L50" s="1">
        <v>0</v>
      </c>
      <c r="M50" s="1">
        <v>0</v>
      </c>
      <c r="N50" s="1">
        <v>0.23400000000000001</v>
      </c>
      <c r="O50" s="1">
        <v>7.3999999999999996E-2</v>
      </c>
      <c r="P50" s="1">
        <v>0.106</v>
      </c>
      <c r="Q50" s="1">
        <v>0</v>
      </c>
      <c r="R50" s="1">
        <v>0</v>
      </c>
      <c r="S50" s="1">
        <v>0</v>
      </c>
      <c r="T50" s="1">
        <v>1.6</v>
      </c>
    </row>
    <row r="51" spans="2:20" x14ac:dyDescent="0.25">
      <c r="B51" t="s">
        <v>11</v>
      </c>
      <c r="C51" s="1"/>
      <c r="D51" s="1"/>
      <c r="E51" s="1">
        <v>5.6000000000000001E-2</v>
      </c>
      <c r="F51" s="1">
        <v>0.38290000000000002</v>
      </c>
      <c r="G51" s="1">
        <v>0.11219999999999999</v>
      </c>
      <c r="H51" s="1">
        <v>0.49209999999999998</v>
      </c>
      <c r="I51" s="1">
        <v>0.16059999999999999</v>
      </c>
      <c r="J51" s="1">
        <v>0.5776</v>
      </c>
      <c r="K51" s="1">
        <v>0.43290000000000001</v>
      </c>
      <c r="L51" s="1">
        <v>0.97889999999999999</v>
      </c>
      <c r="M51" s="1">
        <v>7.46E-2</v>
      </c>
      <c r="N51" s="1">
        <v>0.65720000000000001</v>
      </c>
      <c r="O51" s="1">
        <v>4.2299999999999997E-2</v>
      </c>
      <c r="P51" s="1">
        <v>0.29149999999999998</v>
      </c>
      <c r="Q51" s="1">
        <v>0.1525</v>
      </c>
      <c r="R51" s="1">
        <v>0.61890000000000001</v>
      </c>
      <c r="S51" s="1">
        <v>0.79330000000000001</v>
      </c>
      <c r="T51" s="1">
        <v>0.76090000000000002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4.3289999999999997</v>
      </c>
      <c r="I53" s="1">
        <v>0</v>
      </c>
      <c r="J53" s="1">
        <v>0.91</v>
      </c>
      <c r="K53" s="1">
        <v>0</v>
      </c>
      <c r="L53" s="1">
        <v>0</v>
      </c>
      <c r="M53" s="1">
        <v>0</v>
      </c>
      <c r="N53" s="1">
        <v>0</v>
      </c>
      <c r="O53" s="1">
        <v>0.91</v>
      </c>
      <c r="P53" s="1">
        <v>0</v>
      </c>
      <c r="Q53" s="1">
        <v>0</v>
      </c>
      <c r="R53" s="1">
        <v>0</v>
      </c>
      <c r="S53" s="1">
        <v>3.58</v>
      </c>
      <c r="T53" s="1">
        <v>11.007999999999999</v>
      </c>
    </row>
    <row r="54" spans="2:20" x14ac:dyDescent="0.25">
      <c r="B54" t="s">
        <v>14</v>
      </c>
      <c r="C54" s="1"/>
      <c r="D54" s="1"/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2.5000000000000001E-2</v>
      </c>
      <c r="K54" s="1">
        <v>0.05</v>
      </c>
      <c r="L54" s="1">
        <v>0.1</v>
      </c>
      <c r="M54" s="1">
        <v>0.05</v>
      </c>
      <c r="N54" s="1">
        <v>0.1</v>
      </c>
      <c r="O54" s="1">
        <v>0.1</v>
      </c>
      <c r="P54" s="1">
        <v>0.1</v>
      </c>
      <c r="Q54" s="1">
        <v>0.05</v>
      </c>
      <c r="R54" s="1">
        <v>0.05</v>
      </c>
      <c r="S54" s="1">
        <v>0.05</v>
      </c>
      <c r="T54" s="1">
        <v>0.05</v>
      </c>
    </row>
    <row r="55" spans="2:20" x14ac:dyDescent="0.25">
      <c r="B55" t="s">
        <v>15</v>
      </c>
      <c r="C55" s="1"/>
      <c r="D55" s="1"/>
      <c r="E55" s="1">
        <v>0</v>
      </c>
      <c r="F55" s="1">
        <v>1.15E-2</v>
      </c>
      <c r="G55" s="1">
        <v>4.2999999999999997E-2</v>
      </c>
      <c r="H55" s="1">
        <v>0</v>
      </c>
      <c r="I55" s="1">
        <v>1.6000000000000001E-3</v>
      </c>
      <c r="J55" s="1">
        <v>2.5999999999999999E-2</v>
      </c>
      <c r="K55" s="1">
        <v>7.4999999999999997E-3</v>
      </c>
      <c r="L55" s="1">
        <v>5.7999999999999996E-3</v>
      </c>
      <c r="M55" s="1">
        <v>3.7000000000000002E-3</v>
      </c>
      <c r="N55" s="1">
        <v>0</v>
      </c>
      <c r="O55" s="1">
        <v>3.8100000000000002E-2</v>
      </c>
      <c r="P55" s="1">
        <v>7.6999999999999999E-2</v>
      </c>
      <c r="Q55" s="1">
        <v>0.03</v>
      </c>
      <c r="R55" s="1">
        <v>5.5E-2</v>
      </c>
      <c r="S55" s="1">
        <v>3.6600000000000001E-2</v>
      </c>
      <c r="T55" s="1">
        <v>9.2600000000000002E-2</v>
      </c>
    </row>
    <row r="56" spans="2:20" x14ac:dyDescent="0.25">
      <c r="B56" t="s">
        <v>16</v>
      </c>
      <c r="C56" s="1"/>
      <c r="D56" s="1"/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1.41E-2</v>
      </c>
      <c r="S56" s="1">
        <v>4.1000000000000003E-3</v>
      </c>
      <c r="T56" s="1">
        <v>6.6199999999999995E-2</v>
      </c>
    </row>
    <row r="57" spans="2:20" x14ac:dyDescent="0.25">
      <c r="B57" t="s">
        <v>17</v>
      </c>
      <c r="C57" s="1"/>
      <c r="D57" s="1"/>
      <c r="E57" s="1">
        <v>0</v>
      </c>
      <c r="F57" s="1">
        <v>0</v>
      </c>
      <c r="G57" s="1">
        <v>0</v>
      </c>
      <c r="H57" s="1">
        <v>2E-3</v>
      </c>
      <c r="I57" s="1">
        <v>0</v>
      </c>
      <c r="J57" s="1">
        <v>0</v>
      </c>
      <c r="K57" s="1">
        <v>0</v>
      </c>
      <c r="L57" s="1">
        <v>0</v>
      </c>
      <c r="M57" s="1">
        <v>5.0000000000000001E-3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2:20" x14ac:dyDescent="0.25">
      <c r="B58" t="s">
        <v>18</v>
      </c>
      <c r="C58" s="1"/>
      <c r="D58" s="1"/>
      <c r="E58" s="1">
        <v>3.9199999999999999E-2</v>
      </c>
      <c r="F58" s="1">
        <v>6.2199999999999998E-2</v>
      </c>
      <c r="G58" s="1">
        <v>9.6699999999999994E-2</v>
      </c>
      <c r="H58" s="1">
        <v>0.14610000000000001</v>
      </c>
      <c r="I58" s="1">
        <v>0.21249999999999999</v>
      </c>
      <c r="J58" s="1">
        <v>0.29580000000000001</v>
      </c>
      <c r="K58" s="1">
        <v>0.39269999999999999</v>
      </c>
      <c r="L58" s="1">
        <v>0.49640000000000001</v>
      </c>
      <c r="M58" s="1">
        <v>0.59750000000000003</v>
      </c>
      <c r="N58" s="1">
        <v>0.68610000000000004</v>
      </c>
      <c r="O58" s="1">
        <v>0.68610000000000004</v>
      </c>
      <c r="P58" s="1">
        <v>0.68610000000000004</v>
      </c>
      <c r="Q58" s="1">
        <v>0.68610000000000004</v>
      </c>
      <c r="R58" s="1">
        <v>0.68610000000000004</v>
      </c>
      <c r="S58" s="1">
        <v>0.68610000000000004</v>
      </c>
      <c r="T58" s="1">
        <v>0.68610000000000004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9.5200000000000007E-2</v>
      </c>
      <c r="F59" s="1">
        <f t="shared" si="2"/>
        <v>0.52900000000000003</v>
      </c>
      <c r="G59" s="1">
        <f t="shared" si="2"/>
        <v>0.25190000000000001</v>
      </c>
      <c r="H59" s="1">
        <f t="shared" si="2"/>
        <v>4.969199999999999</v>
      </c>
      <c r="I59" s="1">
        <f t="shared" si="2"/>
        <v>0.84770000000000001</v>
      </c>
      <c r="J59" s="1">
        <f t="shared" si="2"/>
        <v>2.2724000000000002</v>
      </c>
      <c r="K59" s="1">
        <f t="shared" si="2"/>
        <v>0.8831</v>
      </c>
      <c r="L59" s="1">
        <f t="shared" si="2"/>
        <v>1.5810999999999999</v>
      </c>
      <c r="M59" s="1">
        <f t="shared" si="2"/>
        <v>0.73080000000000001</v>
      </c>
      <c r="N59" s="1">
        <f t="shared" si="2"/>
        <v>1.6773</v>
      </c>
      <c r="O59" s="1">
        <f t="shared" si="2"/>
        <v>1.8505000000000003</v>
      </c>
      <c r="P59" s="1">
        <f t="shared" si="2"/>
        <v>1.2605999999999999</v>
      </c>
      <c r="Q59" s="1">
        <f t="shared" si="2"/>
        <v>0.91860000000000008</v>
      </c>
      <c r="R59" s="1">
        <f t="shared" si="2"/>
        <v>1.4241000000000001</v>
      </c>
      <c r="S59" s="1">
        <f t="shared" si="2"/>
        <v>5.1501000000000001</v>
      </c>
      <c r="T59" s="1">
        <f t="shared" si="2"/>
        <v>14.2638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30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0.1045</v>
      </c>
      <c r="G70" s="1">
        <v>0.13700000000000001</v>
      </c>
      <c r="H70" s="1">
        <v>0.80479999999999996</v>
      </c>
      <c r="I70" s="1">
        <v>0.67859999999999998</v>
      </c>
      <c r="J70" s="1">
        <v>1.1709000000000001</v>
      </c>
      <c r="K70" s="1">
        <v>0.60189999999999999</v>
      </c>
      <c r="L70" s="1">
        <v>2.23E-2</v>
      </c>
      <c r="M70" s="1">
        <v>0.74170000000000003</v>
      </c>
      <c r="N70" s="1">
        <v>0.70669999999999999</v>
      </c>
      <c r="O70" s="1">
        <v>1.2644</v>
      </c>
      <c r="P70" s="1">
        <v>0.85899999999999999</v>
      </c>
      <c r="Q70" s="1">
        <v>0.8075</v>
      </c>
      <c r="R70" s="1">
        <v>0.81259999999999999</v>
      </c>
      <c r="S70" s="1">
        <v>0.8125</v>
      </c>
      <c r="T70" s="1">
        <v>1.6126</v>
      </c>
    </row>
    <row r="71" spans="2:20" x14ac:dyDescent="0.25">
      <c r="B71" t="s">
        <v>11</v>
      </c>
      <c r="C71" s="1"/>
      <c r="D71" s="1"/>
      <c r="E71" s="1">
        <v>0</v>
      </c>
      <c r="F71" s="1">
        <v>0.54290000000000005</v>
      </c>
      <c r="G71" s="1">
        <v>0.2722</v>
      </c>
      <c r="H71" s="1">
        <v>0.65210000000000001</v>
      </c>
      <c r="I71" s="1">
        <v>0.3206</v>
      </c>
      <c r="J71" s="1">
        <v>0.65760000000000007</v>
      </c>
      <c r="K71" s="1">
        <v>0.43290000000000001</v>
      </c>
      <c r="L71" s="1">
        <v>0.97889999999999999</v>
      </c>
      <c r="M71" s="1">
        <v>7.46E-2</v>
      </c>
      <c r="N71" s="1">
        <v>0.65720000000000001</v>
      </c>
      <c r="O71" s="1">
        <v>6.7299999999999999E-2</v>
      </c>
      <c r="P71" s="1">
        <v>0.34150000000000003</v>
      </c>
      <c r="Q71" s="1">
        <v>0.20250000000000001</v>
      </c>
      <c r="R71" s="1">
        <v>0.61890000000000001</v>
      </c>
      <c r="S71" s="1">
        <v>0.84329999999999994</v>
      </c>
      <c r="T71" s="1">
        <v>0.81089999999999995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0</v>
      </c>
      <c r="H73" s="1">
        <v>4.3289999999999997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3.58</v>
      </c>
      <c r="T73" s="1">
        <v>11.657999999999999</v>
      </c>
    </row>
    <row r="74" spans="2:20" x14ac:dyDescent="0.25">
      <c r="B74" t="s">
        <v>14</v>
      </c>
      <c r="C74" s="1"/>
      <c r="D74" s="1"/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2:20" x14ac:dyDescent="0.25">
      <c r="B75" t="s">
        <v>15</v>
      </c>
      <c r="C75" s="1"/>
      <c r="D75" s="1"/>
      <c r="E75" s="1">
        <v>0</v>
      </c>
      <c r="F75" s="1">
        <v>6.1499999999999999E-2</v>
      </c>
      <c r="G75" s="1">
        <v>9.2999999999999999E-2</v>
      </c>
      <c r="H75" s="1">
        <v>0.05</v>
      </c>
      <c r="I75" s="1">
        <v>8.660000000000001E-2</v>
      </c>
      <c r="J75" s="1">
        <v>6.8500000000000005E-2</v>
      </c>
      <c r="K75" s="1">
        <v>7.4999999999999997E-3</v>
      </c>
      <c r="L75" s="1">
        <v>5.7999999999999996E-3</v>
      </c>
      <c r="M75" s="1">
        <v>3.7000000000000002E-3</v>
      </c>
      <c r="N75" s="1">
        <v>0</v>
      </c>
      <c r="O75" s="1">
        <v>0.10059999999999999</v>
      </c>
      <c r="P75" s="1">
        <v>0.20200000000000001</v>
      </c>
      <c r="Q75" s="1">
        <v>0.15</v>
      </c>
      <c r="R75" s="1">
        <v>0.17499999999999999</v>
      </c>
      <c r="S75" s="1">
        <v>0.15659999999999999</v>
      </c>
      <c r="T75" s="1">
        <v>0.21260000000000001</v>
      </c>
    </row>
    <row r="76" spans="2:20" x14ac:dyDescent="0.25">
      <c r="B76" t="s">
        <v>16</v>
      </c>
      <c r="C76" s="1"/>
      <c r="D76" s="1"/>
      <c r="E76" s="1">
        <v>0</v>
      </c>
      <c r="F76" s="1">
        <v>5.4893999999999998</v>
      </c>
      <c r="G76" s="1">
        <v>2.6585000000000001</v>
      </c>
      <c r="H76" s="1">
        <v>2.6457000000000002</v>
      </c>
      <c r="I76" s="1">
        <v>2.6762999999999999</v>
      </c>
      <c r="J76" s="1">
        <v>3.2391999999999999</v>
      </c>
      <c r="K76" s="1">
        <v>3.8022</v>
      </c>
      <c r="L76" s="1">
        <v>3.2052999999999998</v>
      </c>
      <c r="M76" s="1">
        <v>4.1246</v>
      </c>
      <c r="N76" s="1">
        <v>3.4216000000000002</v>
      </c>
      <c r="O76" s="1">
        <v>3.6398000000000001</v>
      </c>
      <c r="P76" s="1">
        <v>5.0564999999999998</v>
      </c>
      <c r="Q76" s="1">
        <v>5.1630000000000003</v>
      </c>
      <c r="R76" s="1">
        <v>5.0712999999999999</v>
      </c>
      <c r="S76" s="1">
        <v>5.3169000000000004</v>
      </c>
      <c r="T76" s="1">
        <v>6.9600999999999997</v>
      </c>
    </row>
    <row r="77" spans="2:20" x14ac:dyDescent="0.25">
      <c r="B77" t="s">
        <v>17</v>
      </c>
      <c r="C77" s="1"/>
      <c r="D77" s="1"/>
      <c r="E77" s="1">
        <v>0</v>
      </c>
      <c r="F77" s="1">
        <v>0.69</v>
      </c>
      <c r="G77" s="1">
        <v>0.17</v>
      </c>
      <c r="H77" s="1">
        <v>0.28199999999999997</v>
      </c>
      <c r="I77" s="1">
        <v>0</v>
      </c>
      <c r="J77" s="1">
        <v>0.375</v>
      </c>
      <c r="K77" s="1">
        <v>0.75</v>
      </c>
      <c r="L77" s="1">
        <v>0.75</v>
      </c>
      <c r="M77" s="1">
        <v>0.755</v>
      </c>
      <c r="N77" s="1">
        <v>0.75</v>
      </c>
      <c r="O77" s="1">
        <v>0.375</v>
      </c>
      <c r="P77" s="1">
        <v>0.21640000000000001</v>
      </c>
      <c r="Q77" s="1">
        <v>0.96640000000000004</v>
      </c>
      <c r="R77" s="1">
        <v>0.96640000000000004</v>
      </c>
      <c r="S77" s="1">
        <v>0.96640000000000004</v>
      </c>
      <c r="T77" s="1">
        <v>0.21640000000000001</v>
      </c>
    </row>
    <row r="78" spans="2:20" x14ac:dyDescent="0.25">
      <c r="B78" t="s">
        <v>18</v>
      </c>
      <c r="C78" s="1"/>
      <c r="D78" s="1"/>
      <c r="E78" s="1">
        <v>0</v>
      </c>
      <c r="F78" s="1">
        <v>0.80230000000000001</v>
      </c>
      <c r="G78" s="1">
        <v>0.77669999999999995</v>
      </c>
      <c r="H78" s="1">
        <v>0.83609999999999995</v>
      </c>
      <c r="I78" s="1">
        <v>0.91249999999999998</v>
      </c>
      <c r="J78" s="1">
        <v>0.99580000000000002</v>
      </c>
      <c r="K78" s="1">
        <v>1.0927</v>
      </c>
      <c r="L78" s="1">
        <v>1.2663</v>
      </c>
      <c r="M78" s="1">
        <v>1.6875</v>
      </c>
      <c r="N78" s="1">
        <v>1.7661</v>
      </c>
      <c r="O78" s="1">
        <v>1.3794999999999999</v>
      </c>
      <c r="P78" s="1">
        <v>1.5743</v>
      </c>
      <c r="Q78" s="1">
        <v>1.66</v>
      </c>
      <c r="R78" s="1">
        <v>1.6837</v>
      </c>
      <c r="S78" s="1">
        <v>1.5367</v>
      </c>
      <c r="T78" s="1">
        <v>2.0924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7.690599999999999</v>
      </c>
      <c r="G79" s="1">
        <f t="shared" si="3"/>
        <v>4.1074000000000002</v>
      </c>
      <c r="H79" s="1">
        <f t="shared" si="3"/>
        <v>9.5997000000000003</v>
      </c>
      <c r="I79" s="1">
        <f t="shared" si="3"/>
        <v>4.6745999999999999</v>
      </c>
      <c r="J79" s="1">
        <f t="shared" si="3"/>
        <v>6.5069999999999997</v>
      </c>
      <c r="K79" s="1">
        <f t="shared" si="3"/>
        <v>6.6871999999999998</v>
      </c>
      <c r="L79" s="1">
        <f t="shared" si="3"/>
        <v>6.2286000000000001</v>
      </c>
      <c r="M79" s="1">
        <f t="shared" si="3"/>
        <v>7.3871000000000002</v>
      </c>
      <c r="N79" s="1">
        <f t="shared" si="3"/>
        <v>7.3016000000000005</v>
      </c>
      <c r="O79" s="1">
        <f t="shared" si="3"/>
        <v>6.8266</v>
      </c>
      <c r="P79" s="1">
        <f t="shared" si="3"/>
        <v>8.2497000000000007</v>
      </c>
      <c r="Q79" s="1">
        <f t="shared" si="3"/>
        <v>8.9494000000000007</v>
      </c>
      <c r="R79" s="1">
        <f t="shared" si="3"/>
        <v>9.3278999999999996</v>
      </c>
      <c r="S79" s="1">
        <f t="shared" si="3"/>
        <v>13.212400000000001</v>
      </c>
      <c r="T79" s="1">
        <f t="shared" si="3"/>
        <v>23.562999999999999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31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>
        <v>60.153676909999987</v>
      </c>
      <c r="G9" s="5">
        <f>(F9+H9)/2</f>
        <v>53.064750662999963</v>
      </c>
      <c r="H9" s="1">
        <v>45.975824415999938</v>
      </c>
      <c r="I9" s="5">
        <f>(H9+J9)/2</f>
        <v>39.502368737999973</v>
      </c>
      <c r="J9" s="1">
        <v>33.028913060000008</v>
      </c>
      <c r="K9" s="5">
        <f>(J9+L9)/2</f>
        <v>28.041246276000017</v>
      </c>
      <c r="L9" s="1">
        <v>23.053579492000029</v>
      </c>
      <c r="M9" s="5">
        <f>(L9+N9)/2</f>
        <v>19.413737223999984</v>
      </c>
      <c r="N9" s="1">
        <v>15.773894955999941</v>
      </c>
      <c r="O9" s="5">
        <f>(N9+P9)/2</f>
        <v>12.296423205999947</v>
      </c>
      <c r="P9" s="1">
        <v>8.8189514559999509</v>
      </c>
      <c r="Q9" s="5">
        <f>(P9+R9)/2</f>
        <v>8.6806414969999981</v>
      </c>
      <c r="R9" s="1">
        <v>8.5423315380000453</v>
      </c>
      <c r="S9" s="5">
        <f>(R9+T9)/2</f>
        <v>8.5023827110000276</v>
      </c>
      <c r="T9" s="1">
        <v>8.4624338840000082</v>
      </c>
    </row>
    <row r="10" spans="2:20" x14ac:dyDescent="0.25">
      <c r="B10" t="s">
        <v>10</v>
      </c>
      <c r="C10" s="1"/>
      <c r="D10" s="1"/>
      <c r="E10" s="1"/>
      <c r="F10" s="1">
        <v>25.527008257999942</v>
      </c>
      <c r="G10" s="5">
        <f>(F10+H10)/2</f>
        <v>27.021927929000022</v>
      </c>
      <c r="H10" s="1">
        <v>28.516847600000101</v>
      </c>
      <c r="I10" s="5">
        <f>(H10+J10)/2</f>
        <v>34.955816998000053</v>
      </c>
      <c r="J10" s="1">
        <v>41.394786396000001</v>
      </c>
      <c r="K10" s="5">
        <f>(J10+L10)/2</f>
        <v>46.929311945999991</v>
      </c>
      <c r="L10" s="1">
        <v>52.463837495999982</v>
      </c>
      <c r="M10" s="5">
        <f>(L10+N10)/2</f>
        <v>53.826251727999946</v>
      </c>
      <c r="N10" s="1">
        <v>55.188665959999909</v>
      </c>
      <c r="O10" s="5">
        <f>(N10+P10)/2</f>
        <v>55.025863104999914</v>
      </c>
      <c r="P10" s="1">
        <v>54.863060249999918</v>
      </c>
      <c r="Q10" s="5">
        <f>(P10+R10)/2</f>
        <v>53.402211494999946</v>
      </c>
      <c r="R10" s="1">
        <v>51.941362739999967</v>
      </c>
      <c r="S10" s="5">
        <f>(R10+T10)/2</f>
        <v>51.46099488699997</v>
      </c>
      <c r="T10" s="1">
        <v>50.980627033999973</v>
      </c>
    </row>
    <row r="11" spans="2:20" x14ac:dyDescent="0.25">
      <c r="B11" t="s">
        <v>11</v>
      </c>
      <c r="C11" s="1"/>
      <c r="D11" s="1"/>
      <c r="E11" s="1"/>
      <c r="F11" s="1">
        <v>2.3552061180000008</v>
      </c>
      <c r="G11" s="5">
        <f>(F11+H11)/2</f>
        <v>2.3552701500000004</v>
      </c>
      <c r="H11" s="1">
        <v>2.355334182</v>
      </c>
      <c r="I11" s="5">
        <f>(H11+J11)/2</f>
        <v>2.3553178620000006</v>
      </c>
      <c r="J11" s="1">
        <v>2.3553015420000012</v>
      </c>
      <c r="K11" s="5">
        <f>(J11+L11)/2</f>
        <v>2.3553253790000008</v>
      </c>
      <c r="L11" s="1">
        <v>2.3553492160000009</v>
      </c>
      <c r="M11" s="5">
        <f>(L11+N11)/2</f>
        <v>2.3553492130000011</v>
      </c>
      <c r="N11" s="1">
        <v>2.3553492100000009</v>
      </c>
      <c r="O11" s="5">
        <f>(N11+P11)/2</f>
        <v>2.355349217000001</v>
      </c>
      <c r="P11" s="1">
        <v>2.3553492240000011</v>
      </c>
      <c r="Q11" s="5">
        <f>(P11+R11)/2</f>
        <v>2.355349223000001</v>
      </c>
      <c r="R11" s="1">
        <v>2.355349222000001</v>
      </c>
      <c r="S11" s="5">
        <f>(R11+T11)/2</f>
        <v>2.3553492320000009</v>
      </c>
      <c r="T11" s="1">
        <v>2.3553492420000008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B13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10.921339551999999</v>
      </c>
      <c r="Q13" s="5">
        <f>(P13+R13)/2</f>
        <v>15.630359092999965</v>
      </c>
      <c r="R13" s="1">
        <v>20.339378633999932</v>
      </c>
      <c r="S13" s="5">
        <f>(R13+T13)/2</f>
        <v>20.299114698999929</v>
      </c>
      <c r="T13" s="1">
        <v>20.258850763999931</v>
      </c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7.0199857960000234</v>
      </c>
      <c r="G15" s="5">
        <f>(F15+H15)/2</f>
        <v>7.4745588360000355</v>
      </c>
      <c r="H15" s="1">
        <v>7.9291318760000467</v>
      </c>
      <c r="I15" s="5">
        <f>(H15+J15)/2</f>
        <v>8.7075983980000338</v>
      </c>
      <c r="J15" s="1">
        <v>9.48606492000002</v>
      </c>
      <c r="K15" s="5">
        <f>(J15+L15)/2</f>
        <v>9.9415384320000157</v>
      </c>
      <c r="L15" s="1">
        <v>10.39701194400001</v>
      </c>
      <c r="M15" s="5">
        <f>(L15+N15)/2</f>
        <v>11.060226118000024</v>
      </c>
      <c r="N15" s="1">
        <v>11.72344029200004</v>
      </c>
      <c r="O15" s="5">
        <f>(N15+P15)/2</f>
        <v>12.429961646000034</v>
      </c>
      <c r="P15" s="1">
        <v>13.13648300000003</v>
      </c>
      <c r="Q15" s="5">
        <f>(P15+R15)/2</f>
        <v>13.752049350999945</v>
      </c>
      <c r="R15" s="1">
        <v>14.36761570199986</v>
      </c>
      <c r="S15" s="5">
        <f>(R15+T15)/2</f>
        <v>14.950588978999889</v>
      </c>
      <c r="T15" s="1">
        <v>15.53356225599992</v>
      </c>
    </row>
    <row r="16" spans="2:20" x14ac:dyDescent="0.25">
      <c r="B16" t="s">
        <v>16</v>
      </c>
      <c r="C16" s="1"/>
      <c r="D16" s="1"/>
      <c r="E16" s="1"/>
      <c r="F16" s="1">
        <v>27.380043539999999</v>
      </c>
      <c r="G16" s="5">
        <f>(F16+H16)/2</f>
        <v>29.976197568000003</v>
      </c>
      <c r="H16" s="1">
        <v>32.572351596000011</v>
      </c>
      <c r="I16" s="5">
        <f>(H16+J16)/2</f>
        <v>35.139694122000009</v>
      </c>
      <c r="J16" s="1">
        <v>37.707036647999999</v>
      </c>
      <c r="K16" s="5">
        <f>(J16+L16)/2</f>
        <v>39.552287562000004</v>
      </c>
      <c r="L16" s="1">
        <v>41.397538476000001</v>
      </c>
      <c r="M16" s="5">
        <f>(L16+N16)/2</f>
        <v>43.116567336999992</v>
      </c>
      <c r="N16" s="1">
        <v>44.83559619799999</v>
      </c>
      <c r="O16" s="5">
        <f>(N16+P16)/2</f>
        <v>46.298679360000001</v>
      </c>
      <c r="P16" s="1">
        <v>47.761762522000012</v>
      </c>
      <c r="Q16" s="5">
        <f>(P16+R16)/2</f>
        <v>49.352414851000006</v>
      </c>
      <c r="R16" s="1">
        <v>50.94306718</v>
      </c>
      <c r="S16" s="5">
        <f>(R16+T16)/2</f>
        <v>52.404478518000005</v>
      </c>
      <c r="T16" s="1">
        <v>53.86588985600001</v>
      </c>
    </row>
    <row r="17" spans="2:20" x14ac:dyDescent="0.25">
      <c r="B17" t="s">
        <v>17</v>
      </c>
      <c r="C17" s="1"/>
      <c r="D17" s="1"/>
      <c r="E17" s="1"/>
      <c r="F17" s="1">
        <v>3.767430407999997</v>
      </c>
      <c r="G17" s="5">
        <f>(F17+H17)/2</f>
        <v>10.479084891999992</v>
      </c>
      <c r="H17" s="1">
        <v>17.190739375999989</v>
      </c>
      <c r="I17" s="5">
        <f>(H17+J17)/2</f>
        <v>17.19668313899999</v>
      </c>
      <c r="J17" s="1">
        <v>17.202626901999992</v>
      </c>
      <c r="K17" s="5">
        <f>(J17+L17)/2</f>
        <v>19.324254324000002</v>
      </c>
      <c r="L17" s="1">
        <v>21.445881746000008</v>
      </c>
      <c r="M17" s="5">
        <f>(L17+N17)/2</f>
        <v>27.956084906000022</v>
      </c>
      <c r="N17" s="1">
        <v>34.466288066000033</v>
      </c>
      <c r="O17" s="5">
        <f>(N17+P17)/2</f>
        <v>38.939649494000001</v>
      </c>
      <c r="P17" s="1">
        <v>43.41301092199997</v>
      </c>
      <c r="Q17" s="5">
        <f>(P17+R17)/2</f>
        <v>46.289882435999971</v>
      </c>
      <c r="R17" s="1">
        <v>49.166753949999979</v>
      </c>
      <c r="S17" s="5">
        <f>(R17+T17)/2</f>
        <v>52.386418927999983</v>
      </c>
      <c r="T17" s="1">
        <v>55.606083905999981</v>
      </c>
    </row>
    <row r="18" spans="2:20" x14ac:dyDescent="0.25">
      <c r="B18" t="s">
        <v>18</v>
      </c>
      <c r="C18" s="1"/>
      <c r="D18" s="1"/>
      <c r="E18" s="1"/>
      <c r="F18" s="1">
        <v>28.613812098000011</v>
      </c>
      <c r="G18" s="5">
        <f>(F18+H18)/2</f>
        <v>29.508542630000008</v>
      </c>
      <c r="H18" s="1">
        <v>30.403273162000009</v>
      </c>
      <c r="I18" s="5">
        <f>(H18+J18)/2</f>
        <v>31.787004010000004</v>
      </c>
      <c r="J18" s="1">
        <v>33.170734858000003</v>
      </c>
      <c r="K18" s="5">
        <f>(J18+L18)/2</f>
        <v>34.906677543000001</v>
      </c>
      <c r="L18" s="1">
        <v>36.642620227999998</v>
      </c>
      <c r="M18" s="5">
        <f>(L18+N18)/2</f>
        <v>37.924396413000004</v>
      </c>
      <c r="N18" s="1">
        <v>39.206172598000009</v>
      </c>
      <c r="O18" s="5">
        <f>(N18+P18)/2</f>
        <v>39.785121262000004</v>
      </c>
      <c r="P18" s="1">
        <v>40.364069925999999</v>
      </c>
      <c r="Q18" s="5">
        <f>(P18+R18)/2</f>
        <v>40.280572568999986</v>
      </c>
      <c r="R18" s="1">
        <v>40.197075211999973</v>
      </c>
      <c r="S18" s="5">
        <f>(R18+T18)/2</f>
        <v>40.643769680999988</v>
      </c>
      <c r="T18" s="1">
        <v>41.090464150000003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154.81716312799995</v>
      </c>
      <c r="G19" s="5">
        <f t="shared" si="0"/>
        <v>159.88033266800005</v>
      </c>
      <c r="H19" s="1">
        <f t="shared" si="0"/>
        <v>164.94350220800007</v>
      </c>
      <c r="I19" s="5">
        <f t="shared" si="0"/>
        <v>169.64448326700006</v>
      </c>
      <c r="J19" s="1">
        <f t="shared" si="0"/>
        <v>174.34546432600001</v>
      </c>
      <c r="K19" s="5">
        <f t="shared" si="0"/>
        <v>181.05064146200004</v>
      </c>
      <c r="L19" s="1">
        <f t="shared" si="0"/>
        <v>187.75581859800002</v>
      </c>
      <c r="M19" s="5">
        <f t="shared" si="0"/>
        <v>195.65261293899999</v>
      </c>
      <c r="N19" s="1">
        <f t="shared" si="0"/>
        <v>203.54940727999991</v>
      </c>
      <c r="O19" s="5">
        <f t="shared" si="0"/>
        <v>207.13104728999991</v>
      </c>
      <c r="P19" s="1">
        <f t="shared" si="0"/>
        <v>221.63402685199986</v>
      </c>
      <c r="Q19" s="5">
        <f t="shared" si="0"/>
        <v>229.74348051499982</v>
      </c>
      <c r="R19" s="1">
        <f t="shared" si="0"/>
        <v>237.85293417799977</v>
      </c>
      <c r="S19" s="5">
        <f t="shared" si="0"/>
        <v>243.00309763499976</v>
      </c>
      <c r="T19" s="1">
        <f t="shared" si="0"/>
        <v>248.15326109199981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T79"/>
  <sheetViews>
    <sheetView topLeftCell="A61" workbookViewId="0">
      <selection activeCell="E69" sqref="E69:T69"/>
    </sheetView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31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25.495000000000001</v>
      </c>
      <c r="F9" s="1">
        <v>25.129100000000001</v>
      </c>
      <c r="G9" s="1">
        <v>24.350100000000001</v>
      </c>
      <c r="H9" s="1">
        <v>23.851500000000001</v>
      </c>
      <c r="I9" s="1">
        <v>22.2197</v>
      </c>
      <c r="J9" s="1">
        <v>20.406099999999999</v>
      </c>
      <c r="K9" s="1">
        <v>18.9407</v>
      </c>
      <c r="L9" s="1">
        <v>17.128399999999999</v>
      </c>
      <c r="M9" s="1">
        <v>15.469799999999999</v>
      </c>
      <c r="N9" s="1">
        <v>13.170999999999999</v>
      </c>
      <c r="O9" s="1">
        <v>11.7202</v>
      </c>
      <c r="P9" s="1">
        <v>10.727499999999999</v>
      </c>
      <c r="Q9" s="1">
        <v>10.6425</v>
      </c>
      <c r="R9" s="1">
        <v>10.4528</v>
      </c>
      <c r="S9" s="1">
        <v>10.351000000000001</v>
      </c>
      <c r="T9" s="1">
        <v>10.2165</v>
      </c>
    </row>
    <row r="10" spans="2:20" x14ac:dyDescent="0.25">
      <c r="B10" t="s">
        <v>10</v>
      </c>
      <c r="C10" s="1"/>
      <c r="D10" s="1"/>
      <c r="E10" s="1">
        <v>5.8109999999999999</v>
      </c>
      <c r="F10" s="1">
        <v>6.1894999999999998</v>
      </c>
      <c r="G10" s="1">
        <v>7.1577999999999999</v>
      </c>
      <c r="H10" s="1">
        <v>10.3584</v>
      </c>
      <c r="I10" s="1">
        <v>12.215400000000001</v>
      </c>
      <c r="J10" s="1">
        <v>13.7584</v>
      </c>
      <c r="K10" s="1">
        <v>14.987399999999999</v>
      </c>
      <c r="L10" s="1">
        <v>16.273</v>
      </c>
      <c r="M10" s="1">
        <v>17.153500000000001</v>
      </c>
      <c r="N10" s="1">
        <v>18.068100000000001</v>
      </c>
      <c r="O10" s="1">
        <v>19.325399999999998</v>
      </c>
      <c r="P10" s="1">
        <v>20.9254</v>
      </c>
      <c r="Q10" s="1">
        <v>21.7254</v>
      </c>
      <c r="R10" s="1">
        <v>22.525400000000001</v>
      </c>
      <c r="S10" s="1">
        <v>22.625399999999999</v>
      </c>
      <c r="T10" s="1">
        <v>23.525400000000001</v>
      </c>
    </row>
    <row r="11" spans="2:20" x14ac:dyDescent="0.25">
      <c r="B11" t="s">
        <v>11</v>
      </c>
      <c r="C11" s="1"/>
      <c r="D11" s="1"/>
      <c r="E11" s="1">
        <v>0.79</v>
      </c>
      <c r="F11" s="1">
        <v>0.79</v>
      </c>
      <c r="G11" s="1">
        <v>0.79</v>
      </c>
      <c r="H11" s="1">
        <v>0.79</v>
      </c>
      <c r="I11" s="1">
        <v>0.79</v>
      </c>
      <c r="J11" s="1">
        <v>0.79</v>
      </c>
      <c r="K11" s="1">
        <v>0.79</v>
      </c>
      <c r="L11" s="1">
        <v>0.79</v>
      </c>
      <c r="M11" s="1">
        <v>0.79</v>
      </c>
      <c r="N11" s="1">
        <v>0.79</v>
      </c>
      <c r="O11" s="1">
        <v>0.79</v>
      </c>
      <c r="P11" s="1">
        <v>0.79</v>
      </c>
      <c r="Q11" s="1">
        <v>0.79</v>
      </c>
      <c r="R11" s="1">
        <v>0.79</v>
      </c>
      <c r="S11" s="1">
        <v>0.79</v>
      </c>
      <c r="T11" s="1">
        <v>0.79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2:20" x14ac:dyDescent="0.25">
      <c r="B13" t="s">
        <v>13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1.5</v>
      </c>
      <c r="Q13" s="1">
        <v>2.8</v>
      </c>
      <c r="R13" s="1">
        <v>2.8</v>
      </c>
      <c r="S13" s="1">
        <v>2.8</v>
      </c>
      <c r="T13" s="1">
        <v>2.8</v>
      </c>
    </row>
    <row r="14" spans="2:20" x14ac:dyDescent="0.25">
      <c r="B14" t="s">
        <v>14</v>
      </c>
      <c r="C14" s="1"/>
      <c r="D14" s="1"/>
      <c r="E14" s="1">
        <v>0.39300000000000002</v>
      </c>
      <c r="F14" s="1">
        <v>0.39300000000000002</v>
      </c>
      <c r="G14" s="1">
        <v>0.39300000000000002</v>
      </c>
      <c r="H14" s="1">
        <v>0.39300000000000002</v>
      </c>
      <c r="I14" s="1">
        <v>0.39300000000000002</v>
      </c>
      <c r="J14" s="1">
        <v>0.39300000000000002</v>
      </c>
      <c r="K14" s="1">
        <v>0.39300000000000002</v>
      </c>
      <c r="L14" s="1">
        <v>0.39300000000000002</v>
      </c>
      <c r="M14" s="1">
        <v>0.39300000000000002</v>
      </c>
      <c r="N14" s="1">
        <v>0.39300000000000002</v>
      </c>
      <c r="O14" s="1">
        <v>0.39300000000000002</v>
      </c>
      <c r="P14" s="1">
        <v>0.39300000000000002</v>
      </c>
      <c r="Q14" s="1">
        <v>0.39300000000000002</v>
      </c>
      <c r="R14" s="1">
        <v>0.39300000000000002</v>
      </c>
      <c r="S14" s="1">
        <v>0.39300000000000002</v>
      </c>
      <c r="T14" s="1">
        <v>0.39300000000000002</v>
      </c>
    </row>
    <row r="15" spans="2:20" x14ac:dyDescent="0.25">
      <c r="B15" t="s">
        <v>15</v>
      </c>
      <c r="C15" s="1"/>
      <c r="D15" s="1"/>
      <c r="E15" s="1">
        <v>1.33</v>
      </c>
      <c r="F15" s="1">
        <v>1.48</v>
      </c>
      <c r="G15" s="1">
        <v>1.63</v>
      </c>
      <c r="H15" s="1">
        <v>1.78</v>
      </c>
      <c r="I15" s="1">
        <v>1.93</v>
      </c>
      <c r="J15" s="1">
        <v>2.08</v>
      </c>
      <c r="K15" s="1">
        <v>2.23</v>
      </c>
      <c r="L15" s="1">
        <v>2.38</v>
      </c>
      <c r="M15" s="1">
        <v>2.5299999999999998</v>
      </c>
      <c r="N15" s="1">
        <v>2.68</v>
      </c>
      <c r="O15" s="1">
        <v>2.83</v>
      </c>
      <c r="P15" s="1">
        <v>2.98</v>
      </c>
      <c r="Q15" s="1">
        <v>3.13</v>
      </c>
      <c r="R15" s="1">
        <v>3.28</v>
      </c>
      <c r="S15" s="1">
        <v>3.43</v>
      </c>
      <c r="T15" s="1">
        <v>3.58</v>
      </c>
    </row>
    <row r="16" spans="2:20" x14ac:dyDescent="0.25">
      <c r="B16" t="s">
        <v>16</v>
      </c>
      <c r="C16" s="1"/>
      <c r="D16" s="1"/>
      <c r="E16" s="1">
        <v>24.8</v>
      </c>
      <c r="F16" s="1">
        <v>28.1</v>
      </c>
      <c r="G16" s="1">
        <v>31.4</v>
      </c>
      <c r="H16" s="1">
        <v>34.700000000000003</v>
      </c>
      <c r="I16" s="1">
        <v>37.700000000000003</v>
      </c>
      <c r="J16" s="1">
        <v>40.200000000000003</v>
      </c>
      <c r="K16" s="1">
        <v>42.2</v>
      </c>
      <c r="L16" s="1">
        <v>44.1999</v>
      </c>
      <c r="M16" s="1">
        <v>46.199800000000003</v>
      </c>
      <c r="N16" s="1">
        <v>48.1997</v>
      </c>
      <c r="O16" s="1">
        <v>50.188800000000001</v>
      </c>
      <c r="P16" s="1">
        <v>52.166900000000012</v>
      </c>
      <c r="Q16" s="1">
        <v>54.135199999999998</v>
      </c>
      <c r="R16" s="1">
        <v>56.088200000000001</v>
      </c>
      <c r="S16" s="1">
        <v>58.008499999999998</v>
      </c>
      <c r="T16" s="1">
        <v>59.990699999999997</v>
      </c>
    </row>
    <row r="17" spans="2:20" x14ac:dyDescent="0.25">
      <c r="B17" t="s">
        <v>17</v>
      </c>
      <c r="C17" s="1"/>
      <c r="D17" s="1"/>
      <c r="E17" s="1">
        <v>0</v>
      </c>
      <c r="F17" s="1">
        <v>0.92</v>
      </c>
      <c r="G17" s="1">
        <v>3.23</v>
      </c>
      <c r="H17" s="1">
        <v>4.24</v>
      </c>
      <c r="I17" s="1">
        <v>4.24</v>
      </c>
      <c r="J17" s="1">
        <v>4.24</v>
      </c>
      <c r="K17" s="1">
        <v>4.24</v>
      </c>
      <c r="L17" s="1">
        <v>5.29</v>
      </c>
      <c r="M17" s="1">
        <v>6.75</v>
      </c>
      <c r="N17" s="1">
        <v>8.5399999999999991</v>
      </c>
      <c r="O17" s="1">
        <v>9.7850000000000001</v>
      </c>
      <c r="P17" s="1">
        <v>10.827999999999999</v>
      </c>
      <c r="Q17" s="1">
        <v>11.971</v>
      </c>
      <c r="R17" s="1">
        <v>12.314</v>
      </c>
      <c r="S17" s="1">
        <v>12.657</v>
      </c>
      <c r="T17" s="1">
        <v>14</v>
      </c>
    </row>
    <row r="18" spans="2:20" x14ac:dyDescent="0.25">
      <c r="B18" t="s">
        <v>18</v>
      </c>
      <c r="C18" s="1"/>
      <c r="D18" s="1"/>
      <c r="E18" s="1">
        <v>10.298999999999999</v>
      </c>
      <c r="F18" s="1">
        <v>10.449</v>
      </c>
      <c r="G18" s="1">
        <v>10.749000000000001</v>
      </c>
      <c r="H18" s="1">
        <v>11.199</v>
      </c>
      <c r="I18" s="1">
        <v>11.648999999999999</v>
      </c>
      <c r="J18" s="1">
        <v>12.2087</v>
      </c>
      <c r="K18" s="1">
        <v>12.8781</v>
      </c>
      <c r="L18" s="1">
        <v>13.4962</v>
      </c>
      <c r="M18" s="1">
        <v>14.038399999999999</v>
      </c>
      <c r="N18" s="1">
        <v>14.500999999999999</v>
      </c>
      <c r="O18" s="1">
        <v>14.8293</v>
      </c>
      <c r="P18" s="1">
        <v>15.023300000000001</v>
      </c>
      <c r="Q18" s="1">
        <v>15.065300000000001</v>
      </c>
      <c r="R18" s="1">
        <v>15.023</v>
      </c>
      <c r="S18" s="1">
        <v>15.007300000000001</v>
      </c>
      <c r="T18" s="1">
        <v>15.4358</v>
      </c>
    </row>
    <row r="19" spans="2:20" x14ac:dyDescent="0.25">
      <c r="B19" t="s">
        <v>19</v>
      </c>
      <c r="C19" s="1"/>
      <c r="D19" s="1">
        <f t="shared" ref="D19:T19" si="0">SUM(D9:D18)</f>
        <v>0</v>
      </c>
      <c r="E19" s="1">
        <f t="shared" si="0"/>
        <v>68.918000000000006</v>
      </c>
      <c r="F19" s="1">
        <f t="shared" si="0"/>
        <v>73.450600000000009</v>
      </c>
      <c r="G19" s="1">
        <f t="shared" si="0"/>
        <v>79.6999</v>
      </c>
      <c r="H19" s="1">
        <f t="shared" si="0"/>
        <v>87.311900000000009</v>
      </c>
      <c r="I19" s="1">
        <f t="shared" si="0"/>
        <v>91.13709999999999</v>
      </c>
      <c r="J19" s="1">
        <f t="shared" si="0"/>
        <v>94.0762</v>
      </c>
      <c r="K19" s="1">
        <f t="shared" si="0"/>
        <v>96.659199999999998</v>
      </c>
      <c r="L19" s="1">
        <f t="shared" si="0"/>
        <v>99.950500000000005</v>
      </c>
      <c r="M19" s="1">
        <f t="shared" si="0"/>
        <v>103.3245</v>
      </c>
      <c r="N19" s="1">
        <f t="shared" si="0"/>
        <v>106.34280000000001</v>
      </c>
      <c r="O19" s="1">
        <f t="shared" si="0"/>
        <v>109.8617</v>
      </c>
      <c r="P19" s="1">
        <f t="shared" si="0"/>
        <v>115.33410000000002</v>
      </c>
      <c r="Q19" s="1">
        <f t="shared" si="0"/>
        <v>120.6524</v>
      </c>
      <c r="R19" s="1">
        <f t="shared" si="0"/>
        <v>123.66639999999998</v>
      </c>
      <c r="S19" s="1">
        <f t="shared" si="0"/>
        <v>126.06219999999999</v>
      </c>
      <c r="T19" s="1">
        <f t="shared" si="0"/>
        <v>130.73140000000001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31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-0.3659</v>
      </c>
      <c r="G29" s="1">
        <v>-0.77900000000000003</v>
      </c>
      <c r="H29" s="1">
        <v>-0.49859999999999999</v>
      </c>
      <c r="I29" s="1">
        <v>-1.6317999999999999</v>
      </c>
      <c r="J29" s="1">
        <v>-1.8136000000000001</v>
      </c>
      <c r="K29" s="1">
        <v>-1.4654</v>
      </c>
      <c r="L29" s="1">
        <v>-1.8123</v>
      </c>
      <c r="M29" s="1">
        <v>-1.6586000000000001</v>
      </c>
      <c r="N29" s="1">
        <v>-2.2988</v>
      </c>
      <c r="O29" s="1">
        <v>-1.4508000000000001</v>
      </c>
      <c r="P29" s="1">
        <v>-0.99270000000000003</v>
      </c>
      <c r="Q29" s="1">
        <v>-8.5000000000000006E-2</v>
      </c>
      <c r="R29" s="1">
        <v>-0.18970000000000001</v>
      </c>
      <c r="S29" s="1">
        <v>-0.1018</v>
      </c>
      <c r="T29" s="1">
        <v>-0.13450000000000001</v>
      </c>
    </row>
    <row r="30" spans="2:20" x14ac:dyDescent="0.25">
      <c r="B30" t="s">
        <v>10</v>
      </c>
      <c r="C30" s="1"/>
      <c r="D30" s="1"/>
      <c r="E30" s="1">
        <v>0</v>
      </c>
      <c r="F30" s="1">
        <v>0.3785</v>
      </c>
      <c r="G30" s="1">
        <v>0.96830000000000005</v>
      </c>
      <c r="H30" s="1">
        <v>3.2006000000000001</v>
      </c>
      <c r="I30" s="1">
        <v>1.857</v>
      </c>
      <c r="J30" s="1">
        <v>1.5429999999999999</v>
      </c>
      <c r="K30" s="1">
        <v>1.2290000000000001</v>
      </c>
      <c r="L30" s="1">
        <v>1.2856000000000001</v>
      </c>
      <c r="M30" s="1">
        <v>0.88049999999999995</v>
      </c>
      <c r="N30" s="1">
        <v>0.91459999999999997</v>
      </c>
      <c r="O30" s="1">
        <v>1.2573000000000001</v>
      </c>
      <c r="P30" s="1">
        <v>1.6</v>
      </c>
      <c r="Q30" s="1">
        <v>0.8</v>
      </c>
      <c r="R30" s="1">
        <v>0.8</v>
      </c>
      <c r="S30" s="1">
        <v>0.1</v>
      </c>
      <c r="T30" s="1">
        <v>0.9</v>
      </c>
    </row>
    <row r="31" spans="2:20" x14ac:dyDescent="0.25">
      <c r="B31" t="s">
        <v>11</v>
      </c>
      <c r="C31" s="1"/>
      <c r="D31" s="1"/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1.5</v>
      </c>
      <c r="Q33" s="1">
        <v>1.3</v>
      </c>
      <c r="R33" s="1">
        <v>0</v>
      </c>
      <c r="S33" s="1">
        <v>0</v>
      </c>
      <c r="T33" s="1">
        <v>0</v>
      </c>
    </row>
    <row r="34" spans="2:20" x14ac:dyDescent="0.25">
      <c r="B34" t="s">
        <v>14</v>
      </c>
      <c r="C34" s="1"/>
      <c r="D34" s="1"/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2:20" x14ac:dyDescent="0.25">
      <c r="B35" t="s">
        <v>15</v>
      </c>
      <c r="C35" s="1"/>
      <c r="D35" s="1"/>
      <c r="E35" s="1">
        <v>0</v>
      </c>
      <c r="F35" s="1">
        <v>0.15</v>
      </c>
      <c r="G35" s="1">
        <v>0.15</v>
      </c>
      <c r="H35" s="1">
        <v>0.15</v>
      </c>
      <c r="I35" s="1">
        <v>0.15</v>
      </c>
      <c r="J35" s="1">
        <v>0.15</v>
      </c>
      <c r="K35" s="1">
        <v>0.15</v>
      </c>
      <c r="L35" s="1">
        <v>0.15</v>
      </c>
      <c r="M35" s="1">
        <v>0.15</v>
      </c>
      <c r="N35" s="1">
        <v>0.15</v>
      </c>
      <c r="O35" s="1">
        <v>0.15</v>
      </c>
      <c r="P35" s="1">
        <v>0.15</v>
      </c>
      <c r="Q35" s="1">
        <v>0.15</v>
      </c>
      <c r="R35" s="1">
        <v>0.15</v>
      </c>
      <c r="S35" s="1">
        <v>0.15</v>
      </c>
      <c r="T35" s="1">
        <v>0.15</v>
      </c>
    </row>
    <row r="36" spans="2:20" x14ac:dyDescent="0.25">
      <c r="B36" t="s">
        <v>16</v>
      </c>
      <c r="C36" s="1"/>
      <c r="D36" s="1"/>
      <c r="E36" s="1">
        <v>0</v>
      </c>
      <c r="F36" s="1">
        <v>3.3</v>
      </c>
      <c r="G36" s="1">
        <v>3.3</v>
      </c>
      <c r="H36" s="1">
        <v>3.3</v>
      </c>
      <c r="I36" s="1">
        <v>3</v>
      </c>
      <c r="J36" s="1">
        <v>2.5</v>
      </c>
      <c r="K36" s="1">
        <v>2</v>
      </c>
      <c r="L36" s="1">
        <v>1.9999</v>
      </c>
      <c r="M36" s="1">
        <v>1.9999</v>
      </c>
      <c r="N36" s="1">
        <v>1.9999</v>
      </c>
      <c r="O36" s="1">
        <v>1.9891000000000001</v>
      </c>
      <c r="P36" s="1">
        <v>1.9781</v>
      </c>
      <c r="Q36" s="1">
        <v>1.9682999999999999</v>
      </c>
      <c r="R36" s="1">
        <v>1.9530000000000001</v>
      </c>
      <c r="S36" s="1">
        <v>1.9202999999999999</v>
      </c>
      <c r="T36" s="1">
        <v>1.9822</v>
      </c>
    </row>
    <row r="37" spans="2:20" x14ac:dyDescent="0.25">
      <c r="B37" t="s">
        <v>17</v>
      </c>
      <c r="C37" s="1"/>
      <c r="D37" s="1"/>
      <c r="E37" s="1">
        <v>0</v>
      </c>
      <c r="F37" s="1">
        <v>0.92</v>
      </c>
      <c r="G37" s="1">
        <v>2.31</v>
      </c>
      <c r="H37" s="1">
        <v>1.01</v>
      </c>
      <c r="I37" s="1">
        <v>0</v>
      </c>
      <c r="J37" s="1">
        <v>0</v>
      </c>
      <c r="K37" s="1">
        <v>0</v>
      </c>
      <c r="L37" s="1">
        <v>1.05</v>
      </c>
      <c r="M37" s="1">
        <v>1.46</v>
      </c>
      <c r="N37" s="1">
        <v>1.79</v>
      </c>
      <c r="O37" s="1">
        <v>1.2450000000000001</v>
      </c>
      <c r="P37" s="1">
        <v>1.0429999999999999</v>
      </c>
      <c r="Q37" s="1">
        <v>1.143</v>
      </c>
      <c r="R37" s="1">
        <v>0.34300000000000003</v>
      </c>
      <c r="S37" s="1">
        <v>0.34300000000000003</v>
      </c>
      <c r="T37" s="1">
        <v>1.343</v>
      </c>
    </row>
    <row r="38" spans="2:20" x14ac:dyDescent="0.25">
      <c r="B38" t="s">
        <v>18</v>
      </c>
      <c r="C38" s="1"/>
      <c r="D38" s="1"/>
      <c r="E38" s="1">
        <v>0</v>
      </c>
      <c r="F38" s="1">
        <v>0.15</v>
      </c>
      <c r="G38" s="1">
        <v>0.3</v>
      </c>
      <c r="H38" s="1">
        <v>0.45</v>
      </c>
      <c r="I38" s="1">
        <v>0.45</v>
      </c>
      <c r="J38" s="1">
        <v>0.55969999999999998</v>
      </c>
      <c r="K38" s="1">
        <v>0.6694</v>
      </c>
      <c r="L38" s="1">
        <v>0.61809999999999998</v>
      </c>
      <c r="M38" s="1">
        <v>0.54220000000000002</v>
      </c>
      <c r="N38" s="1">
        <v>0.46260000000000001</v>
      </c>
      <c r="O38" s="1">
        <v>0.32829999999999998</v>
      </c>
      <c r="P38" s="1">
        <v>0.19400000000000001</v>
      </c>
      <c r="Q38" s="1">
        <v>4.2000000000000003E-2</v>
      </c>
      <c r="R38" s="1">
        <v>-4.2299999999999997E-2</v>
      </c>
      <c r="S38" s="1">
        <v>-1.5699999999999999E-2</v>
      </c>
      <c r="T38" s="1">
        <v>0.42849999999999999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4.5326000000000004</v>
      </c>
      <c r="G39" s="1">
        <f t="shared" si="1"/>
        <v>6.2492999999999999</v>
      </c>
      <c r="H39" s="1">
        <f t="shared" si="1"/>
        <v>7.6119999999999992</v>
      </c>
      <c r="I39" s="1">
        <f t="shared" si="1"/>
        <v>3.8252000000000002</v>
      </c>
      <c r="J39" s="1">
        <f t="shared" si="1"/>
        <v>2.9390999999999998</v>
      </c>
      <c r="K39" s="1">
        <f t="shared" si="1"/>
        <v>2.5830000000000002</v>
      </c>
      <c r="L39" s="1">
        <f t="shared" si="1"/>
        <v>3.2913000000000006</v>
      </c>
      <c r="M39" s="1">
        <f t="shared" si="1"/>
        <v>3.3739999999999997</v>
      </c>
      <c r="N39" s="1">
        <f t="shared" si="1"/>
        <v>3.0183</v>
      </c>
      <c r="O39" s="1">
        <f t="shared" si="1"/>
        <v>3.5188999999999999</v>
      </c>
      <c r="P39" s="1">
        <f t="shared" si="1"/>
        <v>5.4724000000000004</v>
      </c>
      <c r="Q39" s="1">
        <f t="shared" si="1"/>
        <v>5.3182999999999998</v>
      </c>
      <c r="R39" s="1">
        <f t="shared" si="1"/>
        <v>3.0140000000000002</v>
      </c>
      <c r="S39" s="1">
        <f t="shared" si="1"/>
        <v>2.3957999999999999</v>
      </c>
      <c r="T39" s="1">
        <f t="shared" si="1"/>
        <v>4.6692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31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</v>
      </c>
      <c r="F49" s="1">
        <v>0.3659</v>
      </c>
      <c r="G49" s="1">
        <v>0.77900000000000003</v>
      </c>
      <c r="H49" s="1">
        <v>0.49859999999999999</v>
      </c>
      <c r="I49" s="1">
        <v>1.6317999999999999</v>
      </c>
      <c r="J49" s="1">
        <v>1.8136000000000001</v>
      </c>
      <c r="K49" s="1">
        <v>1.4654</v>
      </c>
      <c r="L49" s="1">
        <v>1.8123</v>
      </c>
      <c r="M49" s="1">
        <v>1.6586000000000001</v>
      </c>
      <c r="N49" s="1">
        <v>2.2988</v>
      </c>
      <c r="O49" s="1">
        <v>1.4508000000000001</v>
      </c>
      <c r="P49" s="1">
        <v>0.99270000000000003</v>
      </c>
      <c r="Q49" s="1">
        <v>1.2350000000000001</v>
      </c>
      <c r="R49" s="1">
        <v>0.18970000000000001</v>
      </c>
      <c r="S49" s="1">
        <v>0.1018</v>
      </c>
      <c r="T49" s="1">
        <v>0.13450000000000001</v>
      </c>
    </row>
    <row r="50" spans="2:20" x14ac:dyDescent="0.25">
      <c r="B50" t="s">
        <v>10</v>
      </c>
      <c r="C50" s="1"/>
      <c r="D50" s="1"/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4.8000000000000001E-2</v>
      </c>
      <c r="M50" s="1">
        <v>0</v>
      </c>
      <c r="N50" s="1">
        <v>6.1899999999999997E-2</v>
      </c>
      <c r="O50" s="1">
        <v>0.13</v>
      </c>
      <c r="P50" s="1">
        <v>0</v>
      </c>
      <c r="Q50" s="1">
        <v>0.28539999999999999</v>
      </c>
      <c r="R50" s="1">
        <v>0.10100000000000001</v>
      </c>
      <c r="S50" s="1">
        <v>0.1903</v>
      </c>
      <c r="T50" s="1">
        <v>0</v>
      </c>
    </row>
    <row r="51" spans="2:20" x14ac:dyDescent="0.25">
      <c r="B51" t="s">
        <v>11</v>
      </c>
      <c r="C51" s="1"/>
      <c r="D51" s="1"/>
      <c r="E51" s="1">
        <v>0</v>
      </c>
      <c r="F51" s="1">
        <v>7.6E-3</v>
      </c>
      <c r="G51" s="1">
        <v>4.7999999999999996E-3</v>
      </c>
      <c r="H51" s="1">
        <v>3.5000000000000001E-3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2.76E-2</v>
      </c>
      <c r="O51" s="1">
        <v>0</v>
      </c>
      <c r="P51" s="1">
        <v>0</v>
      </c>
      <c r="Q51" s="1">
        <v>5.6000000000000001E-2</v>
      </c>
      <c r="R51" s="1">
        <v>2.3999999999999998E-3</v>
      </c>
      <c r="S51" s="1">
        <v>0</v>
      </c>
      <c r="T51" s="1">
        <v>0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2:20" x14ac:dyDescent="0.25">
      <c r="B54" t="s">
        <v>14</v>
      </c>
      <c r="C54" s="1"/>
      <c r="D54" s="1"/>
      <c r="E54" s="1">
        <v>0</v>
      </c>
      <c r="F54" s="1">
        <v>8.8999999999999996E-2</v>
      </c>
      <c r="G54" s="1">
        <v>5.5E-2</v>
      </c>
      <c r="H54" s="1">
        <v>0</v>
      </c>
      <c r="I54" s="1">
        <v>0.125</v>
      </c>
      <c r="J54" s="1">
        <v>0</v>
      </c>
      <c r="K54" s="1">
        <v>0</v>
      </c>
      <c r="L54" s="1">
        <v>4.5900000000000003E-2</v>
      </c>
      <c r="M54" s="1">
        <v>0.37559999999999999</v>
      </c>
      <c r="N54" s="1">
        <v>1.78E-2</v>
      </c>
      <c r="O54" s="1">
        <v>2.3999999999999998E-3</v>
      </c>
      <c r="P54" s="1">
        <v>6.0000000000000001E-3</v>
      </c>
      <c r="Q54" s="1">
        <v>0</v>
      </c>
      <c r="R54" s="1">
        <v>8.9999999999999993E-3</v>
      </c>
      <c r="S54" s="1">
        <v>2.52E-2</v>
      </c>
      <c r="T54" s="1">
        <v>3.85E-2</v>
      </c>
    </row>
    <row r="55" spans="2:20" x14ac:dyDescent="0.25">
      <c r="B55" t="s">
        <v>15</v>
      </c>
      <c r="C55" s="1"/>
      <c r="D55" s="1"/>
      <c r="E55" s="1">
        <v>0</v>
      </c>
      <c r="F55" s="1">
        <v>0.19600000000000001</v>
      </c>
      <c r="G55" s="1">
        <v>0</v>
      </c>
      <c r="H55" s="1">
        <v>0.05</v>
      </c>
      <c r="I55" s="1">
        <v>0.04</v>
      </c>
      <c r="J55" s="1">
        <v>6.8500000000000005E-2</v>
      </c>
      <c r="K55" s="1">
        <v>0.20599999999999999</v>
      </c>
      <c r="L55" s="1">
        <v>0</v>
      </c>
      <c r="M55" s="1">
        <v>0</v>
      </c>
      <c r="N55" s="1">
        <v>6.1000000000000004E-3</v>
      </c>
      <c r="O55" s="1">
        <v>8.0000000000000002E-3</v>
      </c>
      <c r="P55" s="1">
        <v>0</v>
      </c>
      <c r="Q55" s="1">
        <v>0</v>
      </c>
      <c r="R55" s="1">
        <v>0</v>
      </c>
      <c r="S55" s="1">
        <v>0</v>
      </c>
      <c r="T55" s="1">
        <v>4.7E-2</v>
      </c>
    </row>
    <row r="56" spans="2:20" x14ac:dyDescent="0.25">
      <c r="B56" t="s">
        <v>16</v>
      </c>
      <c r="C56" s="1"/>
      <c r="D56" s="1"/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4.7999999999999996E-3</v>
      </c>
      <c r="R56" s="1">
        <v>0</v>
      </c>
      <c r="S56" s="1">
        <v>0</v>
      </c>
      <c r="T56" s="1">
        <v>0</v>
      </c>
    </row>
    <row r="57" spans="2:20" x14ac:dyDescent="0.25">
      <c r="B57" t="s">
        <v>17</v>
      </c>
      <c r="C57" s="1"/>
      <c r="D57" s="1"/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2:20" x14ac:dyDescent="0.25">
      <c r="B58" t="s">
        <v>18</v>
      </c>
      <c r="C58" s="1"/>
      <c r="D58" s="1"/>
      <c r="E58" s="1">
        <v>0</v>
      </c>
      <c r="F58" s="1">
        <v>0</v>
      </c>
      <c r="G58" s="1">
        <v>2E-3</v>
      </c>
      <c r="H58" s="1">
        <v>2E-3</v>
      </c>
      <c r="I58" s="1">
        <v>7.0000000000000001E-3</v>
      </c>
      <c r="J58" s="1">
        <v>0.01</v>
      </c>
      <c r="K58" s="1">
        <v>1.4E-2</v>
      </c>
      <c r="L58" s="1">
        <v>0.02</v>
      </c>
      <c r="M58" s="1">
        <v>2.5000000000000001E-2</v>
      </c>
      <c r="N58" s="1">
        <v>4.7E-2</v>
      </c>
      <c r="O58" s="1">
        <v>4.7E-2</v>
      </c>
      <c r="P58" s="1">
        <v>4.7E-2</v>
      </c>
      <c r="Q58" s="1">
        <v>4.7E-2</v>
      </c>
      <c r="R58" s="1">
        <v>4.2299999999999997E-2</v>
      </c>
      <c r="S58" s="1">
        <v>1.5699999999999999E-2</v>
      </c>
      <c r="T58" s="1">
        <v>4.7E-2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0</v>
      </c>
      <c r="F59" s="1">
        <f t="shared" si="2"/>
        <v>0.65850000000000009</v>
      </c>
      <c r="G59" s="1">
        <f t="shared" si="2"/>
        <v>0.8408000000000001</v>
      </c>
      <c r="H59" s="1">
        <f t="shared" si="2"/>
        <v>0.55410000000000004</v>
      </c>
      <c r="I59" s="1">
        <f t="shared" si="2"/>
        <v>1.8037999999999998</v>
      </c>
      <c r="J59" s="1">
        <f t="shared" si="2"/>
        <v>1.8921000000000001</v>
      </c>
      <c r="K59" s="1">
        <f t="shared" si="2"/>
        <v>1.6854</v>
      </c>
      <c r="L59" s="1">
        <f t="shared" si="2"/>
        <v>1.9262000000000001</v>
      </c>
      <c r="M59" s="1">
        <f t="shared" si="2"/>
        <v>2.0592000000000001</v>
      </c>
      <c r="N59" s="1">
        <f t="shared" si="2"/>
        <v>2.4592000000000001</v>
      </c>
      <c r="O59" s="1">
        <f t="shared" si="2"/>
        <v>1.6381999999999999</v>
      </c>
      <c r="P59" s="1">
        <f t="shared" si="2"/>
        <v>1.0457000000000001</v>
      </c>
      <c r="Q59" s="1">
        <f t="shared" si="2"/>
        <v>1.6281999999999999</v>
      </c>
      <c r="R59" s="1">
        <f t="shared" si="2"/>
        <v>0.34440000000000004</v>
      </c>
      <c r="S59" s="1">
        <f t="shared" si="2"/>
        <v>0.33300000000000002</v>
      </c>
      <c r="T59" s="1">
        <f t="shared" si="2"/>
        <v>0.26700000000000002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31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0.3785</v>
      </c>
      <c r="G70" s="1">
        <v>0.96830000000000005</v>
      </c>
      <c r="H70" s="1">
        <v>3.2006000000000001</v>
      </c>
      <c r="I70" s="1">
        <v>1.857</v>
      </c>
      <c r="J70" s="1">
        <v>1.5429999999999999</v>
      </c>
      <c r="K70" s="1">
        <v>1.2290000000000001</v>
      </c>
      <c r="L70" s="1">
        <v>1.3335999999999999</v>
      </c>
      <c r="M70" s="1">
        <v>0.88049999999999995</v>
      </c>
      <c r="N70" s="1">
        <v>0.97650000000000003</v>
      </c>
      <c r="O70" s="1">
        <v>1.3873</v>
      </c>
      <c r="P70" s="1">
        <v>1.6</v>
      </c>
      <c r="Q70" s="1">
        <v>1.0853999999999999</v>
      </c>
      <c r="R70" s="1">
        <v>0.90100000000000002</v>
      </c>
      <c r="S70" s="1">
        <v>0.2903</v>
      </c>
      <c r="T70" s="1">
        <v>0.9</v>
      </c>
    </row>
    <row r="71" spans="2:20" x14ac:dyDescent="0.25">
      <c r="B71" t="s">
        <v>11</v>
      </c>
      <c r="C71" s="1"/>
      <c r="D71" s="1"/>
      <c r="E71" s="1">
        <v>0</v>
      </c>
      <c r="F71" s="1">
        <v>7.6E-3</v>
      </c>
      <c r="G71" s="1">
        <v>4.7999999999999996E-3</v>
      </c>
      <c r="H71" s="1">
        <v>3.5000000000000001E-3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2.76E-2</v>
      </c>
      <c r="O71" s="1">
        <v>0</v>
      </c>
      <c r="P71" s="1">
        <v>0</v>
      </c>
      <c r="Q71" s="1">
        <v>5.6000000000000001E-2</v>
      </c>
      <c r="R71" s="1">
        <v>2.3999999999999998E-3</v>
      </c>
      <c r="S71" s="1">
        <v>0</v>
      </c>
      <c r="T71" s="1">
        <v>0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1.5</v>
      </c>
      <c r="Q73" s="1">
        <v>1.3</v>
      </c>
      <c r="R73" s="1">
        <v>0</v>
      </c>
      <c r="S73" s="1">
        <v>0</v>
      </c>
      <c r="T73" s="1">
        <v>0</v>
      </c>
    </row>
    <row r="74" spans="2:20" x14ac:dyDescent="0.25">
      <c r="B74" t="s">
        <v>14</v>
      </c>
      <c r="C74" s="1"/>
      <c r="D74" s="1"/>
      <c r="E74" s="1">
        <v>0</v>
      </c>
      <c r="F74" s="1">
        <v>8.8999999999999996E-2</v>
      </c>
      <c r="G74" s="1">
        <v>5.5E-2</v>
      </c>
      <c r="H74" s="1">
        <v>0</v>
      </c>
      <c r="I74" s="1">
        <v>0.125</v>
      </c>
      <c r="J74" s="1">
        <v>0</v>
      </c>
      <c r="K74" s="1">
        <v>0</v>
      </c>
      <c r="L74" s="1">
        <v>4.5900000000000003E-2</v>
      </c>
      <c r="M74" s="1">
        <v>0.37559999999999999</v>
      </c>
      <c r="N74" s="1">
        <v>1.78E-2</v>
      </c>
      <c r="O74" s="1">
        <v>2.3999999999999998E-3</v>
      </c>
      <c r="P74" s="1">
        <v>6.0000000000000001E-3</v>
      </c>
      <c r="Q74" s="1">
        <v>0</v>
      </c>
      <c r="R74" s="1">
        <v>8.9999999999999993E-3</v>
      </c>
      <c r="S74" s="1">
        <v>2.52E-2</v>
      </c>
      <c r="T74" s="1">
        <v>3.85E-2</v>
      </c>
    </row>
    <row r="75" spans="2:20" x14ac:dyDescent="0.25">
      <c r="B75" t="s">
        <v>15</v>
      </c>
      <c r="C75" s="1"/>
      <c r="D75" s="1"/>
      <c r="E75" s="1">
        <v>0</v>
      </c>
      <c r="F75" s="1">
        <v>0.34599999999999997</v>
      </c>
      <c r="G75" s="1">
        <v>0.15</v>
      </c>
      <c r="H75" s="1">
        <v>0.2</v>
      </c>
      <c r="I75" s="1">
        <v>0.19</v>
      </c>
      <c r="J75" s="1">
        <v>0.2185</v>
      </c>
      <c r="K75" s="1">
        <v>0.35599999999999998</v>
      </c>
      <c r="L75" s="1">
        <v>0.15</v>
      </c>
      <c r="M75" s="1">
        <v>0.15</v>
      </c>
      <c r="N75" s="1">
        <v>0.15609999999999999</v>
      </c>
      <c r="O75" s="1">
        <v>0.158</v>
      </c>
      <c r="P75" s="1">
        <v>0.15</v>
      </c>
      <c r="Q75" s="1">
        <v>0.15</v>
      </c>
      <c r="R75" s="1">
        <v>0.15</v>
      </c>
      <c r="S75" s="1">
        <v>0.15</v>
      </c>
      <c r="T75" s="1">
        <v>0.19700000000000001</v>
      </c>
    </row>
    <row r="76" spans="2:20" x14ac:dyDescent="0.25">
      <c r="B76" t="s">
        <v>16</v>
      </c>
      <c r="C76" s="1"/>
      <c r="D76" s="1"/>
      <c r="E76" s="1">
        <v>0</v>
      </c>
      <c r="F76" s="1">
        <v>3.3</v>
      </c>
      <c r="G76" s="1">
        <v>3.3</v>
      </c>
      <c r="H76" s="1">
        <v>3.3</v>
      </c>
      <c r="I76" s="1">
        <v>3</v>
      </c>
      <c r="J76" s="1">
        <v>2.5</v>
      </c>
      <c r="K76" s="1">
        <v>2</v>
      </c>
      <c r="L76" s="1">
        <v>1.9999</v>
      </c>
      <c r="M76" s="1">
        <v>1.9999</v>
      </c>
      <c r="N76" s="1">
        <v>1.9999</v>
      </c>
      <c r="O76" s="1">
        <v>1.9891000000000001</v>
      </c>
      <c r="P76" s="1">
        <v>1.9781</v>
      </c>
      <c r="Q76" s="1">
        <v>1.9731000000000001</v>
      </c>
      <c r="R76" s="1">
        <v>1.9530000000000001</v>
      </c>
      <c r="S76" s="1">
        <v>1.9202999999999999</v>
      </c>
      <c r="T76" s="1">
        <v>1.9822</v>
      </c>
    </row>
    <row r="77" spans="2:20" x14ac:dyDescent="0.25">
      <c r="B77" t="s">
        <v>17</v>
      </c>
      <c r="C77" s="1"/>
      <c r="D77" s="1"/>
      <c r="E77" s="1">
        <v>0</v>
      </c>
      <c r="F77" s="1">
        <v>0.92</v>
      </c>
      <c r="G77" s="1">
        <v>2.31</v>
      </c>
      <c r="H77" s="1">
        <v>1.01</v>
      </c>
      <c r="I77" s="1">
        <v>0</v>
      </c>
      <c r="J77" s="1">
        <v>0</v>
      </c>
      <c r="K77" s="1">
        <v>0</v>
      </c>
      <c r="L77" s="1">
        <v>1.05</v>
      </c>
      <c r="M77" s="1">
        <v>1.46</v>
      </c>
      <c r="N77" s="1">
        <v>1.79</v>
      </c>
      <c r="O77" s="1">
        <v>1.2450000000000001</v>
      </c>
      <c r="P77" s="1">
        <v>1.0429999999999999</v>
      </c>
      <c r="Q77" s="1">
        <v>1.143</v>
      </c>
      <c r="R77" s="1">
        <v>0.34300000000000003</v>
      </c>
      <c r="S77" s="1">
        <v>0.34300000000000003</v>
      </c>
      <c r="T77" s="1">
        <v>1.343</v>
      </c>
    </row>
    <row r="78" spans="2:20" x14ac:dyDescent="0.25">
      <c r="B78" t="s">
        <v>18</v>
      </c>
      <c r="C78" s="1"/>
      <c r="D78" s="1"/>
      <c r="E78" s="1">
        <v>0</v>
      </c>
      <c r="F78" s="1">
        <v>0.15</v>
      </c>
      <c r="G78" s="1">
        <v>0.30199999999999999</v>
      </c>
      <c r="H78" s="1">
        <v>0.45200000000000001</v>
      </c>
      <c r="I78" s="1">
        <v>0.45700000000000002</v>
      </c>
      <c r="J78" s="1">
        <v>0.56969999999999998</v>
      </c>
      <c r="K78" s="1">
        <v>0.68340000000000001</v>
      </c>
      <c r="L78" s="1">
        <v>0.6381</v>
      </c>
      <c r="M78" s="1">
        <v>0.56720000000000004</v>
      </c>
      <c r="N78" s="1">
        <v>0.50960000000000005</v>
      </c>
      <c r="O78" s="1">
        <v>0.37530000000000002</v>
      </c>
      <c r="P78" s="1">
        <v>0.24099999999999999</v>
      </c>
      <c r="Q78" s="1">
        <v>8.8999999999999996E-2</v>
      </c>
      <c r="R78" s="1">
        <v>0</v>
      </c>
      <c r="S78" s="1">
        <v>0</v>
      </c>
      <c r="T78" s="1">
        <v>0.47549999999999998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5.1911000000000005</v>
      </c>
      <c r="G79" s="1">
        <f t="shared" si="3"/>
        <v>7.0900999999999996</v>
      </c>
      <c r="H79" s="1">
        <f t="shared" si="3"/>
        <v>8.1661000000000001</v>
      </c>
      <c r="I79" s="1">
        <f t="shared" si="3"/>
        <v>5.6290000000000004</v>
      </c>
      <c r="J79" s="1">
        <f t="shared" si="3"/>
        <v>4.8311999999999999</v>
      </c>
      <c r="K79" s="1">
        <f t="shared" si="3"/>
        <v>4.2683999999999997</v>
      </c>
      <c r="L79" s="1">
        <f t="shared" si="3"/>
        <v>5.2174999999999994</v>
      </c>
      <c r="M79" s="1">
        <f t="shared" si="3"/>
        <v>5.4331999999999994</v>
      </c>
      <c r="N79" s="1">
        <f t="shared" si="3"/>
        <v>5.4775</v>
      </c>
      <c r="O79" s="1">
        <f t="shared" si="3"/>
        <v>5.1571000000000007</v>
      </c>
      <c r="P79" s="1">
        <f t="shared" si="3"/>
        <v>6.5180999999999996</v>
      </c>
      <c r="Q79" s="1">
        <f t="shared" si="3"/>
        <v>5.7965</v>
      </c>
      <c r="R79" s="1">
        <f t="shared" si="3"/>
        <v>3.3584000000000001</v>
      </c>
      <c r="S79" s="1">
        <f t="shared" si="3"/>
        <v>2.7287999999999997</v>
      </c>
      <c r="T79" s="1">
        <f t="shared" si="3"/>
        <v>4.9362000000000004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32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25">
      <c r="B10" t="s">
        <v>10</v>
      </c>
      <c r="C10" s="1"/>
      <c r="D10" s="1"/>
      <c r="E10" s="1"/>
      <c r="F10" s="1">
        <v>41.740367814000003</v>
      </c>
      <c r="G10" s="5">
        <f>(F10+H10)/2</f>
        <v>42.180978805999985</v>
      </c>
      <c r="H10" s="1">
        <v>42.62158979799996</v>
      </c>
      <c r="I10" s="5">
        <f>(H10+J10)/2</f>
        <v>45.02614665499992</v>
      </c>
      <c r="J10" s="1">
        <v>47.430703511999873</v>
      </c>
      <c r="K10" s="5">
        <f>(J10+L10)/2</f>
        <v>57.167012184999905</v>
      </c>
      <c r="L10" s="1">
        <v>66.903320857999944</v>
      </c>
      <c r="M10" s="5">
        <f>(L10+N10)/2</f>
        <v>66.910239709999885</v>
      </c>
      <c r="N10" s="1">
        <v>66.917158561999827</v>
      </c>
      <c r="O10" s="5">
        <f>(N10+P10)/2</f>
        <v>64.310623139999791</v>
      </c>
      <c r="P10" s="1">
        <v>61.704087717999769</v>
      </c>
      <c r="Q10" s="5">
        <f>(P10+R10)/2</f>
        <v>61.51656826699967</v>
      </c>
      <c r="R10" s="1">
        <v>61.32904881599957</v>
      </c>
      <c r="S10" s="5">
        <f>(R10+T10)/2</f>
        <v>62.149573966999668</v>
      </c>
      <c r="T10" s="1">
        <v>62.970099117999759</v>
      </c>
    </row>
    <row r="11" spans="2:20" x14ac:dyDescent="0.25">
      <c r="B11" t="s">
        <v>11</v>
      </c>
      <c r="C11" s="1"/>
      <c r="D11" s="1"/>
      <c r="E11" s="1"/>
      <c r="F11" s="1">
        <v>4.1152677739999994</v>
      </c>
      <c r="G11" s="5">
        <f>(F11+H11)/2</f>
        <v>4.1168012999999988</v>
      </c>
      <c r="H11" s="1">
        <v>4.1183348259999981</v>
      </c>
      <c r="I11" s="5">
        <f>(H11+J11)/2</f>
        <v>4.1192477769999982</v>
      </c>
      <c r="J11" s="1">
        <v>4.1201607279999992</v>
      </c>
      <c r="K11" s="5">
        <f>(J11+L11)/2</f>
        <v>4.1181343419999994</v>
      </c>
      <c r="L11" s="1">
        <v>4.1161079559999996</v>
      </c>
      <c r="M11" s="5">
        <f>(L11+N11)/2</f>
        <v>4.1169322069999996</v>
      </c>
      <c r="N11" s="1">
        <v>4.1177564579999997</v>
      </c>
      <c r="O11" s="5">
        <f>(N11+P11)/2</f>
        <v>4.1188057439999994</v>
      </c>
      <c r="P11" s="1">
        <v>4.1198550299999992</v>
      </c>
      <c r="Q11" s="5">
        <f>(P11+R11)/2</f>
        <v>4.1190256120000015</v>
      </c>
      <c r="R11" s="1">
        <v>4.1181961940000029</v>
      </c>
      <c r="S11" s="5">
        <f>(R11+T11)/2</f>
        <v>4.1175056470000007</v>
      </c>
      <c r="T11" s="1">
        <v>4.1168150999999984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0.20156501199999999</v>
      </c>
      <c r="Q12" s="5">
        <f>(P12+R12)/2</f>
        <v>0.29431399899999999</v>
      </c>
      <c r="R12" s="1">
        <v>0.387062986</v>
      </c>
      <c r="S12" s="5">
        <f>(R12+T12)/2</f>
        <v>0.69195650899999994</v>
      </c>
      <c r="T12" s="1">
        <v>0.996850032</v>
      </c>
    </row>
    <row r="13" spans="2:20" x14ac:dyDescent="0.25">
      <c r="B13" t="s">
        <v>13</v>
      </c>
      <c r="C13" s="1"/>
      <c r="D13" s="1"/>
      <c r="E13" s="1"/>
      <c r="F13" s="1">
        <v>39.467075061999381</v>
      </c>
      <c r="G13" s="5">
        <f>(F13+H13)/2</f>
        <v>39.424949473999391</v>
      </c>
      <c r="H13" s="1">
        <v>39.3828238859994</v>
      </c>
      <c r="I13" s="5">
        <f>(H13+J13)/2</f>
        <v>39.373133330999408</v>
      </c>
      <c r="J13" s="1">
        <v>39.363442775999417</v>
      </c>
      <c r="K13" s="5">
        <f>(J13+L13)/2</f>
        <v>44.772946363999338</v>
      </c>
      <c r="L13" s="1">
        <v>50.182449951999267</v>
      </c>
      <c r="M13" s="5">
        <f>(L13+N13)/2</f>
        <v>55.586423807000244</v>
      </c>
      <c r="N13" s="1">
        <v>60.990397662001229</v>
      </c>
      <c r="O13" s="5">
        <f>(N13+P13)/2</f>
        <v>61.004331456001225</v>
      </c>
      <c r="P13" s="1">
        <v>61.018265250001221</v>
      </c>
      <c r="Q13" s="5">
        <f>(P13+R13)/2</f>
        <v>61.038428068001224</v>
      </c>
      <c r="R13" s="1">
        <v>61.05859088600122</v>
      </c>
      <c r="S13" s="5">
        <f>(R13+T13)/2</f>
        <v>61.027973679001221</v>
      </c>
      <c r="T13" s="1">
        <v>60.997356472001229</v>
      </c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45.249766406000013</v>
      </c>
      <c r="G15" s="5">
        <f>(F15+H15)/2</f>
        <v>43.150450843999934</v>
      </c>
      <c r="H15" s="1">
        <v>41.051135281999848</v>
      </c>
      <c r="I15" s="5">
        <f>(H15+J15)/2</f>
        <v>40.984820418999931</v>
      </c>
      <c r="J15" s="1">
        <v>40.918505556000021</v>
      </c>
      <c r="K15" s="5">
        <f>(J15+L15)/2</f>
        <v>24.391919384000001</v>
      </c>
      <c r="L15" s="1">
        <v>7.865333211999979</v>
      </c>
      <c r="M15" s="5">
        <f>(L15+N15)/2</f>
        <v>8.2282349879999899</v>
      </c>
      <c r="N15" s="1">
        <v>8.5911367639999998</v>
      </c>
      <c r="O15" s="5">
        <f>(N15+P15)/2</f>
        <v>19.502705026000001</v>
      </c>
      <c r="P15" s="1">
        <v>30.414273288</v>
      </c>
      <c r="Q15" s="5">
        <f>(P15+R15)/2</f>
        <v>31.033555861999925</v>
      </c>
      <c r="R15" s="1">
        <v>31.65283843599985</v>
      </c>
      <c r="S15" s="5">
        <f>(R15+T15)/2</f>
        <v>31.197915377999855</v>
      </c>
      <c r="T15" s="1">
        <v>30.74299231999986</v>
      </c>
    </row>
    <row r="16" spans="2:20" x14ac:dyDescent="0.25">
      <c r="B16" t="s">
        <v>16</v>
      </c>
      <c r="C16" s="1"/>
      <c r="D16" s="1"/>
      <c r="E16" s="1"/>
      <c r="F16" s="1">
        <v>22.186431437999989</v>
      </c>
      <c r="G16" s="5">
        <f>(F16+H16)/2</f>
        <v>24.895848501999989</v>
      </c>
      <c r="H16" s="1">
        <v>27.605265565999989</v>
      </c>
      <c r="I16" s="5">
        <f>(H16+J16)/2</f>
        <v>31.134071716999998</v>
      </c>
      <c r="J16" s="1">
        <v>34.662877868000002</v>
      </c>
      <c r="K16" s="5">
        <f>(J16+L16)/2</f>
        <v>36.721445046999989</v>
      </c>
      <c r="L16" s="1">
        <v>38.780012225999982</v>
      </c>
      <c r="M16" s="5">
        <f>(L16+N16)/2</f>
        <v>39.993931496999991</v>
      </c>
      <c r="N16" s="1">
        <v>41.207850768000007</v>
      </c>
      <c r="O16" s="5">
        <f>(N16+P16)/2</f>
        <v>43.016873458999996</v>
      </c>
      <c r="P16" s="1">
        <v>44.825896149999991</v>
      </c>
      <c r="Q16" s="5">
        <f>(P16+R16)/2</f>
        <v>46.5286531</v>
      </c>
      <c r="R16" s="1">
        <v>48.231410050000008</v>
      </c>
      <c r="S16" s="5">
        <f>(R16+T16)/2</f>
        <v>49.499138778000003</v>
      </c>
      <c r="T16" s="1">
        <v>50.766867505999997</v>
      </c>
    </row>
    <row r="17" spans="2:20" x14ac:dyDescent="0.25">
      <c r="B17" t="s">
        <v>17</v>
      </c>
      <c r="C17" s="1"/>
      <c r="D17" s="1"/>
      <c r="E17" s="1"/>
      <c r="F17" s="1">
        <v>76.661676850000006</v>
      </c>
      <c r="G17" s="5">
        <f>(F17+H17)/2</f>
        <v>90.678773871999994</v>
      </c>
      <c r="H17" s="1">
        <v>104.695870894</v>
      </c>
      <c r="I17" s="5">
        <f>(H17+J17)/2</f>
        <v>111.55613206300001</v>
      </c>
      <c r="J17" s="1">
        <v>118.416393232</v>
      </c>
      <c r="K17" s="5">
        <f>(J17+L17)/2</f>
        <v>129.800818789</v>
      </c>
      <c r="L17" s="1">
        <v>141.18524434599999</v>
      </c>
      <c r="M17" s="5">
        <f>(L17+N17)/2</f>
        <v>151.68911869699994</v>
      </c>
      <c r="N17" s="1">
        <v>162.19299304799989</v>
      </c>
      <c r="O17" s="5">
        <f>(N17+P17)/2</f>
        <v>171.28681297199989</v>
      </c>
      <c r="P17" s="1">
        <v>180.3806328959999</v>
      </c>
      <c r="Q17" s="5">
        <f>(P17+R17)/2</f>
        <v>192.76449745199983</v>
      </c>
      <c r="R17" s="1">
        <v>205.14836200799979</v>
      </c>
      <c r="S17" s="5">
        <f>(R17+T17)/2</f>
        <v>218.68680430299986</v>
      </c>
      <c r="T17" s="1">
        <v>232.2252465979999</v>
      </c>
    </row>
    <row r="18" spans="2:20" x14ac:dyDescent="0.25">
      <c r="B18" t="s">
        <v>18</v>
      </c>
      <c r="C18" s="1"/>
      <c r="D18" s="1"/>
      <c r="E18" s="1"/>
      <c r="F18" s="1">
        <v>44.423894141999973</v>
      </c>
      <c r="G18" s="5">
        <f>(F18+H18)/2</f>
        <v>45.920041647999994</v>
      </c>
      <c r="H18" s="1">
        <v>47.416189154000008</v>
      </c>
      <c r="I18" s="5">
        <f>(H18+J18)/2</f>
        <v>48.726161945000001</v>
      </c>
      <c r="J18" s="1">
        <v>50.036134735999987</v>
      </c>
      <c r="K18" s="5">
        <f>(J18+L18)/2</f>
        <v>49.971116859999995</v>
      </c>
      <c r="L18" s="1">
        <v>49.906098984000003</v>
      </c>
      <c r="M18" s="5">
        <f>(L18+N18)/2</f>
        <v>49.695892241999999</v>
      </c>
      <c r="N18" s="1">
        <v>49.485685500000002</v>
      </c>
      <c r="O18" s="5">
        <f>(N18+P18)/2</f>
        <v>49.763684548000015</v>
      </c>
      <c r="P18" s="1">
        <v>50.041683596000027</v>
      </c>
      <c r="Q18" s="5">
        <f>(P18+R18)/2</f>
        <v>49.666655022000015</v>
      </c>
      <c r="R18" s="1">
        <v>49.291626448000002</v>
      </c>
      <c r="S18" s="5">
        <f>(R18+T18)/2</f>
        <v>50.324112434</v>
      </c>
      <c r="T18" s="1">
        <v>51.356598419999997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273.84447948599939</v>
      </c>
      <c r="G19" s="5">
        <f t="shared" si="0"/>
        <v>290.36784444599925</v>
      </c>
      <c r="H19" s="1">
        <f t="shared" si="0"/>
        <v>306.89120940599918</v>
      </c>
      <c r="I19" s="5">
        <f t="shared" si="0"/>
        <v>320.91971390699928</v>
      </c>
      <c r="J19" s="1">
        <f t="shared" si="0"/>
        <v>334.94821840799932</v>
      </c>
      <c r="K19" s="5">
        <f t="shared" si="0"/>
        <v>346.94339297099924</v>
      </c>
      <c r="L19" s="1">
        <f t="shared" si="0"/>
        <v>358.93856753399911</v>
      </c>
      <c r="M19" s="5">
        <f t="shared" si="0"/>
        <v>376.22077314800003</v>
      </c>
      <c r="N19" s="1">
        <f t="shared" si="0"/>
        <v>393.50297876200096</v>
      </c>
      <c r="O19" s="5">
        <f t="shared" si="0"/>
        <v>413.00383634500093</v>
      </c>
      <c r="P19" s="1">
        <f t="shared" si="0"/>
        <v>432.70625894000091</v>
      </c>
      <c r="Q19" s="5">
        <f t="shared" si="0"/>
        <v>446.96169738200069</v>
      </c>
      <c r="R19" s="1">
        <f t="shared" si="0"/>
        <v>461.21713582400048</v>
      </c>
      <c r="S19" s="5">
        <f t="shared" si="0"/>
        <v>477.6949806950006</v>
      </c>
      <c r="T19" s="1">
        <f t="shared" si="0"/>
        <v>494.17282556600077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T79"/>
  <sheetViews>
    <sheetView topLeftCell="A58"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32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7.0000000000000001E-3</v>
      </c>
      <c r="F9" s="1">
        <v>7.0000000000000001E-3</v>
      </c>
      <c r="G9" s="1">
        <v>7.0000000000000001E-3</v>
      </c>
      <c r="H9" s="1">
        <v>7.0000000000000001E-3</v>
      </c>
      <c r="I9" s="1">
        <v>7.0000000000000001E-3</v>
      </c>
      <c r="J9" s="1">
        <v>7.0000000000000001E-3</v>
      </c>
      <c r="K9" s="1">
        <v>7.0000000000000001E-3</v>
      </c>
      <c r="L9" s="1">
        <v>7.0000000000000001E-3</v>
      </c>
      <c r="M9" s="1">
        <v>7.0000000000000001E-3</v>
      </c>
      <c r="N9" s="1">
        <v>7.0000000000000001E-3</v>
      </c>
      <c r="O9" s="1">
        <v>7.0000000000000001E-3</v>
      </c>
      <c r="P9" s="1">
        <v>7.0000000000000001E-3</v>
      </c>
      <c r="Q9" s="1">
        <v>7.0000000000000001E-3</v>
      </c>
      <c r="R9" s="1">
        <v>7.0000000000000001E-3</v>
      </c>
      <c r="S9" s="1">
        <v>7.0000000000000001E-3</v>
      </c>
      <c r="T9" s="1">
        <v>7.0000000000000001E-3</v>
      </c>
    </row>
    <row r="10" spans="2:20" x14ac:dyDescent="0.25">
      <c r="B10" t="s">
        <v>10</v>
      </c>
      <c r="C10" s="1"/>
      <c r="D10" s="1"/>
      <c r="E10" s="1">
        <v>34.976999999999997</v>
      </c>
      <c r="F10" s="1">
        <v>34.994900000000001</v>
      </c>
      <c r="G10" s="1">
        <v>35.290799999999997</v>
      </c>
      <c r="H10" s="1">
        <v>35.971699999999998</v>
      </c>
      <c r="I10" s="1">
        <v>37.915199999999999</v>
      </c>
      <c r="J10" s="1">
        <v>39.2727</v>
      </c>
      <c r="K10" s="1">
        <v>40.044199999999996</v>
      </c>
      <c r="L10" s="1">
        <v>42.200299999999999</v>
      </c>
      <c r="M10" s="1">
        <v>43.703600000000002</v>
      </c>
      <c r="N10" s="1">
        <v>46.064999999999998</v>
      </c>
      <c r="O10" s="1">
        <v>47.343700000000013</v>
      </c>
      <c r="P10" s="1">
        <v>49.608400000000003</v>
      </c>
      <c r="Q10" s="1">
        <v>50.958500000000001</v>
      </c>
      <c r="R10" s="1">
        <v>51.427199999999999</v>
      </c>
      <c r="S10" s="1">
        <v>52.889299999999999</v>
      </c>
      <c r="T10" s="1">
        <v>54.857999999999997</v>
      </c>
    </row>
    <row r="11" spans="2:20" x14ac:dyDescent="0.25">
      <c r="B11" t="s">
        <v>11</v>
      </c>
      <c r="C11" s="1"/>
      <c r="D11" s="1"/>
      <c r="E11" s="1">
        <v>1.8919999999999999</v>
      </c>
      <c r="F11" s="1">
        <v>1.897</v>
      </c>
      <c r="G11" s="1">
        <v>1.9019999999999999</v>
      </c>
      <c r="H11" s="1">
        <v>1.907</v>
      </c>
      <c r="I11" s="1">
        <v>1.9370000000000001</v>
      </c>
      <c r="J11" s="1">
        <v>1.9544999999999999</v>
      </c>
      <c r="K11" s="1">
        <v>1.9595</v>
      </c>
      <c r="L11" s="1">
        <v>1.9644999999999999</v>
      </c>
      <c r="M11" s="1">
        <v>1.9695</v>
      </c>
      <c r="N11" s="1">
        <v>1.9744999999999999</v>
      </c>
      <c r="O11" s="1">
        <v>1.9795</v>
      </c>
      <c r="P11" s="1">
        <v>1.9844999999999999</v>
      </c>
      <c r="Q11" s="1">
        <v>1.9895</v>
      </c>
      <c r="R11" s="1">
        <v>1.9944999999999999</v>
      </c>
      <c r="S11" s="1">
        <v>1.9995000000000001</v>
      </c>
      <c r="T11" s="1">
        <v>2.0045000000000002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0.8</v>
      </c>
      <c r="P12" s="1">
        <v>0.8</v>
      </c>
      <c r="Q12" s="1">
        <v>0.8</v>
      </c>
      <c r="R12" s="1">
        <v>0.8</v>
      </c>
      <c r="S12" s="1">
        <v>0.8</v>
      </c>
      <c r="T12" s="1">
        <v>0.8</v>
      </c>
    </row>
    <row r="13" spans="2:20" x14ac:dyDescent="0.25">
      <c r="B13" t="s">
        <v>13</v>
      </c>
      <c r="C13" s="1"/>
      <c r="D13" s="1">
        <v>5.9</v>
      </c>
      <c r="E13" s="1">
        <v>5.9</v>
      </c>
      <c r="F13" s="1">
        <v>5.9</v>
      </c>
      <c r="G13" s="1">
        <v>5.9</v>
      </c>
      <c r="H13" s="1">
        <v>5.9</v>
      </c>
      <c r="I13" s="1">
        <v>5.9</v>
      </c>
      <c r="J13" s="1">
        <v>5.9</v>
      </c>
      <c r="K13" s="1">
        <v>7.53</v>
      </c>
      <c r="L13" s="1">
        <v>7.53</v>
      </c>
      <c r="M13" s="1">
        <v>9.16</v>
      </c>
      <c r="N13" s="1">
        <v>9.16</v>
      </c>
      <c r="O13" s="1">
        <v>9.16</v>
      </c>
      <c r="P13" s="1">
        <v>9.16</v>
      </c>
      <c r="Q13" s="1">
        <v>9.16</v>
      </c>
      <c r="R13" s="1">
        <v>9.16</v>
      </c>
      <c r="S13" s="1">
        <v>9.16</v>
      </c>
      <c r="T13" s="1">
        <v>9.16</v>
      </c>
    </row>
    <row r="14" spans="2:20" x14ac:dyDescent="0.25">
      <c r="B14" t="s">
        <v>14</v>
      </c>
      <c r="C14" s="1"/>
      <c r="D14" s="1"/>
      <c r="E14" s="1">
        <v>1.258</v>
      </c>
      <c r="F14" s="1">
        <v>1.258</v>
      </c>
      <c r="G14" s="1">
        <v>1.258</v>
      </c>
      <c r="H14" s="1">
        <v>1.258</v>
      </c>
      <c r="I14" s="1">
        <v>1.258</v>
      </c>
      <c r="J14" s="1">
        <v>1.1909000000000001</v>
      </c>
      <c r="K14" s="1">
        <v>1.0568</v>
      </c>
      <c r="L14" s="1">
        <v>0.92269999999999996</v>
      </c>
      <c r="M14" s="1">
        <v>0.78859999999999997</v>
      </c>
      <c r="N14" s="1">
        <v>0.65449999999999997</v>
      </c>
      <c r="O14" s="1">
        <v>0.58750000000000002</v>
      </c>
      <c r="P14" s="1">
        <v>0.58750000000000002</v>
      </c>
      <c r="Q14" s="1">
        <v>0.58750000000000002</v>
      </c>
      <c r="R14" s="1">
        <v>0.58750000000000002</v>
      </c>
      <c r="S14" s="1">
        <v>0.58750000000000002</v>
      </c>
      <c r="T14" s="1">
        <v>0.58750000000000002</v>
      </c>
    </row>
    <row r="15" spans="2:20" x14ac:dyDescent="0.25">
      <c r="B15" t="s">
        <v>15</v>
      </c>
      <c r="C15" s="1"/>
      <c r="D15" s="1"/>
      <c r="E15" s="1">
        <v>7.016</v>
      </c>
      <c r="F15" s="1">
        <v>7.1160000000000014</v>
      </c>
      <c r="G15" s="1">
        <v>7.1760000000000002</v>
      </c>
      <c r="H15" s="1">
        <v>7.2560000000000002</v>
      </c>
      <c r="I15" s="1">
        <v>7.2960000000000003</v>
      </c>
      <c r="J15" s="1">
        <v>7.3860000000000001</v>
      </c>
      <c r="K15" s="1">
        <v>7.5260000000000007</v>
      </c>
      <c r="L15" s="1">
        <v>7.5860000000000003</v>
      </c>
      <c r="M15" s="1">
        <v>7.6660000000000004</v>
      </c>
      <c r="N15" s="1">
        <v>7.726</v>
      </c>
      <c r="O15" s="1">
        <v>7.8260000000000014</v>
      </c>
      <c r="P15" s="1">
        <v>7.9660000000000002</v>
      </c>
      <c r="Q15" s="1">
        <v>8.0660000000000007</v>
      </c>
      <c r="R15" s="1">
        <v>8.1660000000000004</v>
      </c>
      <c r="S15" s="1">
        <v>8.266</v>
      </c>
      <c r="T15" s="1">
        <v>8.3659999999999997</v>
      </c>
    </row>
    <row r="16" spans="2:20" x14ac:dyDescent="0.25">
      <c r="B16" t="s">
        <v>16</v>
      </c>
      <c r="C16" s="1"/>
      <c r="D16" s="1"/>
      <c r="E16" s="1">
        <v>21.6</v>
      </c>
      <c r="F16" s="1">
        <v>23.6142</v>
      </c>
      <c r="G16" s="1">
        <v>25.6096</v>
      </c>
      <c r="H16" s="1">
        <v>29.593</v>
      </c>
      <c r="I16" s="1">
        <v>33.580500000000001</v>
      </c>
      <c r="J16" s="1">
        <v>37.237099999999998</v>
      </c>
      <c r="K16" s="1">
        <v>40.562800000000003</v>
      </c>
      <c r="L16" s="1">
        <v>41.887900000000002</v>
      </c>
      <c r="M16" s="1">
        <v>43.244</v>
      </c>
      <c r="N16" s="1">
        <v>44.607999999999997</v>
      </c>
      <c r="O16" s="1">
        <v>46.337899999999998</v>
      </c>
      <c r="P16" s="1">
        <v>48.433700000000002</v>
      </c>
      <c r="Q16" s="1">
        <v>50.379800000000003</v>
      </c>
      <c r="R16" s="1">
        <v>52.098100000000002</v>
      </c>
      <c r="S16" s="1">
        <v>53.580399999999997</v>
      </c>
      <c r="T16" s="1">
        <v>55.241399999999999</v>
      </c>
    </row>
    <row r="17" spans="2:20" x14ac:dyDescent="0.25">
      <c r="B17" t="s">
        <v>17</v>
      </c>
      <c r="C17" s="1"/>
      <c r="D17" s="1"/>
      <c r="E17" s="1">
        <v>16.678999999999998</v>
      </c>
      <c r="F17" s="1">
        <v>19.439</v>
      </c>
      <c r="G17" s="1">
        <v>24.349</v>
      </c>
      <c r="H17" s="1">
        <v>27.449000000000002</v>
      </c>
      <c r="I17" s="1">
        <v>28.859000000000002</v>
      </c>
      <c r="J17" s="1">
        <v>31.324000000000002</v>
      </c>
      <c r="K17" s="1">
        <v>34.844000000000001</v>
      </c>
      <c r="L17" s="1">
        <v>38.024000000000001</v>
      </c>
      <c r="M17" s="1">
        <v>41.024000000000001</v>
      </c>
      <c r="N17" s="1">
        <v>44.124000000000002</v>
      </c>
      <c r="O17" s="1">
        <v>46.164000000000001</v>
      </c>
      <c r="P17" s="1">
        <v>49.209200000000003</v>
      </c>
      <c r="Q17" s="1">
        <v>51.974400000000003</v>
      </c>
      <c r="R17" s="1">
        <v>56.209600000000002</v>
      </c>
      <c r="S17" s="1">
        <v>60.6248</v>
      </c>
      <c r="T17" s="1">
        <v>64.5</v>
      </c>
    </row>
    <row r="18" spans="2:20" x14ac:dyDescent="0.25">
      <c r="B18" t="s">
        <v>18</v>
      </c>
      <c r="C18" s="1"/>
      <c r="D18" s="1"/>
      <c r="E18" s="1">
        <v>16.54</v>
      </c>
      <c r="F18" s="1">
        <v>17.170000000000002</v>
      </c>
      <c r="G18" s="1">
        <v>17.920000000000002</v>
      </c>
      <c r="H18" s="1">
        <v>18.64</v>
      </c>
      <c r="I18" s="1">
        <v>19.37</v>
      </c>
      <c r="J18" s="1">
        <v>19.778500000000001</v>
      </c>
      <c r="K18" s="1">
        <v>19.865500000000001</v>
      </c>
      <c r="L18" s="1">
        <v>19.9129</v>
      </c>
      <c r="M18" s="1">
        <v>19.8643</v>
      </c>
      <c r="N18" s="1">
        <v>19.774799999999999</v>
      </c>
      <c r="O18" s="1">
        <v>19.7986</v>
      </c>
      <c r="P18" s="1">
        <v>19.935700000000001</v>
      </c>
      <c r="Q18" s="1">
        <v>19.819600000000001</v>
      </c>
      <c r="R18" s="1">
        <v>19.614699999999999</v>
      </c>
      <c r="S18" s="1">
        <v>19.4923</v>
      </c>
      <c r="T18" s="1">
        <v>20.720400000000001</v>
      </c>
    </row>
    <row r="19" spans="2:20" x14ac:dyDescent="0.25">
      <c r="B19" t="s">
        <v>19</v>
      </c>
      <c r="C19" s="1"/>
      <c r="D19" s="1">
        <f t="shared" ref="D19:T19" si="0">SUM(D9:D18)</f>
        <v>5.9</v>
      </c>
      <c r="E19" s="1">
        <f t="shared" si="0"/>
        <v>105.869</v>
      </c>
      <c r="F19" s="1">
        <f t="shared" si="0"/>
        <v>111.3961</v>
      </c>
      <c r="G19" s="1">
        <f t="shared" si="0"/>
        <v>119.41240000000001</v>
      </c>
      <c r="H19" s="1">
        <f t="shared" si="0"/>
        <v>127.9817</v>
      </c>
      <c r="I19" s="1">
        <f t="shared" si="0"/>
        <v>136.12270000000001</v>
      </c>
      <c r="J19" s="1">
        <f t="shared" si="0"/>
        <v>144.05070000000001</v>
      </c>
      <c r="K19" s="1">
        <f t="shared" si="0"/>
        <v>153.39580000000001</v>
      </c>
      <c r="L19" s="1">
        <f t="shared" si="0"/>
        <v>160.03530000000001</v>
      </c>
      <c r="M19" s="1">
        <f t="shared" si="0"/>
        <v>167.42700000000002</v>
      </c>
      <c r="N19" s="1">
        <f t="shared" si="0"/>
        <v>174.09379999999999</v>
      </c>
      <c r="O19" s="1">
        <f t="shared" si="0"/>
        <v>180.0042</v>
      </c>
      <c r="P19" s="1">
        <f t="shared" si="0"/>
        <v>187.69200000000001</v>
      </c>
      <c r="Q19" s="1">
        <f t="shared" si="0"/>
        <v>193.7423</v>
      </c>
      <c r="R19" s="1">
        <f t="shared" si="0"/>
        <v>200.06460000000001</v>
      </c>
      <c r="S19" s="1">
        <f t="shared" si="0"/>
        <v>207.4068</v>
      </c>
      <c r="T19" s="1">
        <f t="shared" si="0"/>
        <v>216.24480000000003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32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2:20" x14ac:dyDescent="0.25">
      <c r="B30" t="s">
        <v>10</v>
      </c>
      <c r="C30" s="1"/>
      <c r="D30" s="1"/>
      <c r="E30" s="1">
        <v>0</v>
      </c>
      <c r="F30" s="1">
        <v>1.7899999999999999E-2</v>
      </c>
      <c r="G30" s="1">
        <v>0.2959</v>
      </c>
      <c r="H30" s="1">
        <v>0.68089999999999995</v>
      </c>
      <c r="I30" s="1">
        <v>1.9435</v>
      </c>
      <c r="J30" s="1">
        <v>1.3574999999999999</v>
      </c>
      <c r="K30" s="1">
        <v>0.77149999999999996</v>
      </c>
      <c r="L30" s="1">
        <v>2.1560999999999999</v>
      </c>
      <c r="M30" s="1">
        <v>1.5033000000000001</v>
      </c>
      <c r="N30" s="1">
        <v>2.3614000000000002</v>
      </c>
      <c r="O30" s="1">
        <v>1.2786999999999999</v>
      </c>
      <c r="P30" s="1">
        <v>2.2646999999999999</v>
      </c>
      <c r="Q30" s="1">
        <v>1.3501000000000001</v>
      </c>
      <c r="R30" s="1">
        <v>0.46870000000000001</v>
      </c>
      <c r="S30" s="1">
        <v>1.4621</v>
      </c>
      <c r="T30" s="1">
        <v>1.9686999999999999</v>
      </c>
    </row>
    <row r="31" spans="2:20" x14ac:dyDescent="0.25">
      <c r="B31" t="s">
        <v>11</v>
      </c>
      <c r="C31" s="1"/>
      <c r="D31" s="1"/>
      <c r="E31" s="1">
        <v>0</v>
      </c>
      <c r="F31" s="1">
        <v>5.0000000000000001E-3</v>
      </c>
      <c r="G31" s="1">
        <v>5.0000000000000001E-3</v>
      </c>
      <c r="H31" s="1">
        <v>5.0000000000000001E-3</v>
      </c>
      <c r="I31" s="1">
        <v>0.03</v>
      </c>
      <c r="J31" s="1">
        <v>1.7500000000000002E-2</v>
      </c>
      <c r="K31" s="1">
        <v>5.0000000000000001E-3</v>
      </c>
      <c r="L31" s="1">
        <v>5.0000000000000001E-3</v>
      </c>
      <c r="M31" s="1">
        <v>5.0000000000000001E-3</v>
      </c>
      <c r="N31" s="1">
        <v>5.0000000000000001E-3</v>
      </c>
      <c r="O31" s="1">
        <v>5.0000000000000001E-3</v>
      </c>
      <c r="P31" s="1">
        <v>5.0000000000000001E-3</v>
      </c>
      <c r="Q31" s="1">
        <v>5.0000000000000001E-3</v>
      </c>
      <c r="R31" s="1">
        <v>5.0000000000000001E-3</v>
      </c>
      <c r="S31" s="1">
        <v>5.0000000000000001E-3</v>
      </c>
      <c r="T31" s="1">
        <v>5.0000000000000001E-3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0.8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1.63</v>
      </c>
      <c r="L33" s="1">
        <v>0</v>
      </c>
      <c r="M33" s="1">
        <v>1.63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2:20" x14ac:dyDescent="0.25">
      <c r="B34" t="s">
        <v>14</v>
      </c>
      <c r="C34" s="1"/>
      <c r="D34" s="1"/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-6.7100000000000007E-2</v>
      </c>
      <c r="K34" s="1">
        <v>-0.1341</v>
      </c>
      <c r="L34" s="1">
        <v>-0.1341</v>
      </c>
      <c r="M34" s="1">
        <v>-0.1341</v>
      </c>
      <c r="N34" s="1">
        <v>-0.1341</v>
      </c>
      <c r="O34" s="1">
        <v>-6.7000000000000004E-2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2:20" x14ac:dyDescent="0.25">
      <c r="B35" t="s">
        <v>15</v>
      </c>
      <c r="C35" s="1"/>
      <c r="D35" s="1"/>
      <c r="E35" s="1">
        <v>0</v>
      </c>
      <c r="F35" s="1">
        <v>0.1</v>
      </c>
      <c r="G35" s="1">
        <v>0.06</v>
      </c>
      <c r="H35" s="1">
        <v>0.08</v>
      </c>
      <c r="I35" s="1">
        <v>0.04</v>
      </c>
      <c r="J35" s="1">
        <v>0.09</v>
      </c>
      <c r="K35" s="1">
        <v>0.14000000000000001</v>
      </c>
      <c r="L35" s="1">
        <v>0.06</v>
      </c>
      <c r="M35" s="1">
        <v>0.08</v>
      </c>
      <c r="N35" s="1">
        <v>0.06</v>
      </c>
      <c r="O35" s="1">
        <v>0.1</v>
      </c>
      <c r="P35" s="1">
        <v>0.14000000000000001</v>
      </c>
      <c r="Q35" s="1">
        <v>0.1</v>
      </c>
      <c r="R35" s="1">
        <v>0.1</v>
      </c>
      <c r="S35" s="1">
        <v>0.1</v>
      </c>
      <c r="T35" s="1">
        <v>0.1</v>
      </c>
    </row>
    <row r="36" spans="2:20" x14ac:dyDescent="0.25">
      <c r="B36" t="s">
        <v>16</v>
      </c>
      <c r="C36" s="1"/>
      <c r="D36" s="1"/>
      <c r="E36" s="1">
        <v>0</v>
      </c>
      <c r="F36" s="1">
        <v>2.0142000000000002</v>
      </c>
      <c r="G36" s="1">
        <v>1.9954000000000001</v>
      </c>
      <c r="H36" s="1">
        <v>3.9834000000000001</v>
      </c>
      <c r="I36" s="1">
        <v>3.9874999999999998</v>
      </c>
      <c r="J36" s="1">
        <v>3.6566000000000001</v>
      </c>
      <c r="K36" s="1">
        <v>3.3256999999999999</v>
      </c>
      <c r="L36" s="1">
        <v>1.3250999999999999</v>
      </c>
      <c r="M36" s="1">
        <v>1.3561000000000001</v>
      </c>
      <c r="N36" s="1">
        <v>1.3640000000000001</v>
      </c>
      <c r="O36" s="1">
        <v>1.7299</v>
      </c>
      <c r="P36" s="1">
        <v>2.0958000000000001</v>
      </c>
      <c r="Q36" s="1">
        <v>1.9460999999999999</v>
      </c>
      <c r="R36" s="1">
        <v>1.7182999999999999</v>
      </c>
      <c r="S36" s="1">
        <v>1.4823</v>
      </c>
      <c r="T36" s="1">
        <v>1.661</v>
      </c>
    </row>
    <row r="37" spans="2:20" x14ac:dyDescent="0.25">
      <c r="B37" t="s">
        <v>17</v>
      </c>
      <c r="C37" s="1"/>
      <c r="D37" s="1"/>
      <c r="E37" s="1">
        <v>0</v>
      </c>
      <c r="F37" s="1">
        <v>2.76</v>
      </c>
      <c r="G37" s="1">
        <v>4.91</v>
      </c>
      <c r="H37" s="1">
        <v>3.1</v>
      </c>
      <c r="I37" s="1">
        <v>1.41</v>
      </c>
      <c r="J37" s="1">
        <v>2.4649999999999999</v>
      </c>
      <c r="K37" s="1">
        <v>3.52</v>
      </c>
      <c r="L37" s="1">
        <v>3.18</v>
      </c>
      <c r="M37" s="1">
        <v>3</v>
      </c>
      <c r="N37" s="1">
        <v>3.1</v>
      </c>
      <c r="O37" s="1">
        <v>2.04</v>
      </c>
      <c r="P37" s="1">
        <v>3.0451999999999999</v>
      </c>
      <c r="Q37" s="1">
        <v>2.7652000000000001</v>
      </c>
      <c r="R37" s="1">
        <v>4.2351999999999999</v>
      </c>
      <c r="S37" s="1">
        <v>4.4151999999999996</v>
      </c>
      <c r="T37" s="1">
        <v>3.8752</v>
      </c>
    </row>
    <row r="38" spans="2:20" x14ac:dyDescent="0.25">
      <c r="B38" t="s">
        <v>18</v>
      </c>
      <c r="C38" s="1"/>
      <c r="D38" s="1"/>
      <c r="E38" s="1">
        <v>0</v>
      </c>
      <c r="F38" s="1">
        <v>0.63</v>
      </c>
      <c r="G38" s="1">
        <v>0.75</v>
      </c>
      <c r="H38" s="1">
        <v>0.72</v>
      </c>
      <c r="I38" s="1">
        <v>0.73</v>
      </c>
      <c r="J38" s="1">
        <v>0.40849999999999997</v>
      </c>
      <c r="K38" s="1">
        <v>8.6999999999999994E-2</v>
      </c>
      <c r="L38" s="1">
        <v>4.7399999999999998E-2</v>
      </c>
      <c r="M38" s="1">
        <v>-4.8599999999999997E-2</v>
      </c>
      <c r="N38" s="1">
        <v>-8.9499999999999996E-2</v>
      </c>
      <c r="O38" s="1">
        <v>2.3800000000000002E-2</v>
      </c>
      <c r="P38" s="1">
        <v>0.1371</v>
      </c>
      <c r="Q38" s="1">
        <v>-0.11609999999999999</v>
      </c>
      <c r="R38" s="1">
        <v>-0.2049</v>
      </c>
      <c r="S38" s="1">
        <v>-0.12239999999999999</v>
      </c>
      <c r="T38" s="1">
        <v>1.2281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5.5270999999999999</v>
      </c>
      <c r="G39" s="1">
        <f t="shared" si="1"/>
        <v>8.0163000000000011</v>
      </c>
      <c r="H39" s="1">
        <f t="shared" si="1"/>
        <v>8.5693000000000001</v>
      </c>
      <c r="I39" s="1">
        <f t="shared" si="1"/>
        <v>8.141</v>
      </c>
      <c r="J39" s="1">
        <f t="shared" si="1"/>
        <v>7.9279999999999999</v>
      </c>
      <c r="K39" s="1">
        <f t="shared" si="1"/>
        <v>9.3450999999999986</v>
      </c>
      <c r="L39" s="1">
        <f t="shared" si="1"/>
        <v>6.6395</v>
      </c>
      <c r="M39" s="1">
        <f t="shared" si="1"/>
        <v>7.3917000000000002</v>
      </c>
      <c r="N39" s="1">
        <f t="shared" si="1"/>
        <v>6.6667999999999994</v>
      </c>
      <c r="O39" s="1">
        <f t="shared" si="1"/>
        <v>5.9103999999999992</v>
      </c>
      <c r="P39" s="1">
        <f t="shared" si="1"/>
        <v>7.6877999999999993</v>
      </c>
      <c r="Q39" s="1">
        <f t="shared" si="1"/>
        <v>6.0503</v>
      </c>
      <c r="R39" s="1">
        <f t="shared" si="1"/>
        <v>6.3222999999999994</v>
      </c>
      <c r="S39" s="1">
        <f t="shared" si="1"/>
        <v>7.3421999999999992</v>
      </c>
      <c r="T39" s="1">
        <f t="shared" si="1"/>
        <v>8.8379999999999992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32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1.2999999999999999E-2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2:20" x14ac:dyDescent="0.25">
      <c r="B50" t="s">
        <v>10</v>
      </c>
      <c r="C50" s="1"/>
      <c r="D50" s="1"/>
      <c r="E50" s="1">
        <v>4.4999999999999998E-2</v>
      </c>
      <c r="F50" s="1">
        <v>0.25069999999999998</v>
      </c>
      <c r="G50" s="1">
        <v>0.1885</v>
      </c>
      <c r="H50" s="1">
        <v>1.6813</v>
      </c>
      <c r="I50" s="1">
        <v>1.3449</v>
      </c>
      <c r="J50" s="1">
        <v>1.4089</v>
      </c>
      <c r="K50" s="1">
        <v>3.1352000000000002</v>
      </c>
      <c r="L50" s="1">
        <v>2.4529999999999998</v>
      </c>
      <c r="M50" s="1">
        <v>2.7195999999999998</v>
      </c>
      <c r="N50" s="1">
        <v>1.6265000000000001</v>
      </c>
      <c r="O50" s="1">
        <v>5.3327</v>
      </c>
      <c r="P50" s="1">
        <v>1.5860000000000001</v>
      </c>
      <c r="Q50" s="1">
        <v>1.4823999999999999</v>
      </c>
      <c r="R50" s="1">
        <v>2.1616</v>
      </c>
      <c r="S50" s="1">
        <v>1.125</v>
      </c>
      <c r="T50" s="1">
        <v>0.65700000000000003</v>
      </c>
    </row>
    <row r="51" spans="2:20" x14ac:dyDescent="0.25">
      <c r="B51" t="s">
        <v>11</v>
      </c>
      <c r="C51" s="1"/>
      <c r="D51" s="1"/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3.6299999999999999E-2</v>
      </c>
      <c r="K51" s="1">
        <v>0.2828</v>
      </c>
      <c r="L51" s="1">
        <v>2.3999999999999998E-3</v>
      </c>
      <c r="M51" s="1">
        <v>0</v>
      </c>
      <c r="N51" s="1">
        <v>1.1999999999999999E-3</v>
      </c>
      <c r="O51" s="1">
        <v>0</v>
      </c>
      <c r="P51" s="1">
        <v>0</v>
      </c>
      <c r="Q51" s="1">
        <v>0</v>
      </c>
      <c r="R51" s="1">
        <v>0</v>
      </c>
      <c r="S51" s="1">
        <v>0.23150000000000001</v>
      </c>
      <c r="T51" s="1">
        <v>3.9E-2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2:20" x14ac:dyDescent="0.25">
      <c r="B54" t="s">
        <v>14</v>
      </c>
      <c r="C54" s="1"/>
      <c r="D54" s="1"/>
      <c r="E54" s="1">
        <v>0</v>
      </c>
      <c r="F54" s="1">
        <v>2.9000000000000001E-2</v>
      </c>
      <c r="G54" s="1">
        <v>0</v>
      </c>
      <c r="H54" s="1">
        <v>0</v>
      </c>
      <c r="I54" s="1">
        <v>9.5999999999999992E-3</v>
      </c>
      <c r="J54" s="1">
        <v>6.7100000000000007E-2</v>
      </c>
      <c r="K54" s="1">
        <v>0.1341</v>
      </c>
      <c r="L54" s="1">
        <v>0.1341</v>
      </c>
      <c r="M54" s="1">
        <v>0.1341</v>
      </c>
      <c r="N54" s="1">
        <v>0.1341</v>
      </c>
      <c r="O54" s="1">
        <v>6.7000000000000004E-2</v>
      </c>
      <c r="P54" s="1">
        <v>2E-3</v>
      </c>
      <c r="Q54" s="1">
        <v>0</v>
      </c>
      <c r="R54" s="1">
        <v>0</v>
      </c>
      <c r="S54" s="1">
        <v>0.02</v>
      </c>
      <c r="T54" s="1">
        <v>0</v>
      </c>
    </row>
    <row r="55" spans="2:20" x14ac:dyDescent="0.25">
      <c r="B55" t="s">
        <v>15</v>
      </c>
      <c r="C55" s="1"/>
      <c r="D55" s="1"/>
      <c r="E55" s="1">
        <v>0</v>
      </c>
      <c r="F55" s="1">
        <v>2.5950000000000002</v>
      </c>
      <c r="G55" s="1">
        <v>0.42</v>
      </c>
      <c r="H55" s="1">
        <v>3.85E-2</v>
      </c>
      <c r="I55" s="1">
        <v>4.7399999999999998E-2</v>
      </c>
      <c r="J55" s="1">
        <v>0.13239999999999999</v>
      </c>
      <c r="K55" s="1">
        <v>9.7999999999999997E-3</v>
      </c>
      <c r="L55" s="1">
        <v>0</v>
      </c>
      <c r="M55" s="1">
        <v>2.81E-2</v>
      </c>
      <c r="N55" s="1">
        <v>8.9999999999999993E-3</v>
      </c>
      <c r="O55" s="1">
        <v>2.7000000000000001E-3</v>
      </c>
      <c r="P55" s="1">
        <v>0</v>
      </c>
      <c r="Q55" s="1">
        <v>7.3999999999999996E-2</v>
      </c>
      <c r="R55" s="1">
        <v>2.6200000000000001E-2</v>
      </c>
      <c r="S55" s="1">
        <v>5.1799999999999999E-2</v>
      </c>
      <c r="T55" s="1">
        <v>5.3999999999999999E-2</v>
      </c>
    </row>
    <row r="56" spans="2:20" x14ac:dyDescent="0.25">
      <c r="B56" t="s">
        <v>16</v>
      </c>
      <c r="C56" s="1"/>
      <c r="D56" s="1"/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2:20" x14ac:dyDescent="0.25">
      <c r="B57" t="s">
        <v>17</v>
      </c>
      <c r="C57" s="1"/>
      <c r="D57" s="1"/>
      <c r="E57" s="1">
        <v>0</v>
      </c>
      <c r="F57" s="1">
        <v>0</v>
      </c>
      <c r="G57" s="1">
        <v>0</v>
      </c>
      <c r="H57" s="1">
        <v>0</v>
      </c>
      <c r="I57" s="1">
        <v>6.7000000000000004E-2</v>
      </c>
      <c r="J57" s="1">
        <v>0</v>
      </c>
      <c r="K57" s="1">
        <v>0.15</v>
      </c>
      <c r="L57" s="1">
        <v>0.18</v>
      </c>
      <c r="M57" s="1">
        <v>0</v>
      </c>
      <c r="N57" s="1">
        <v>0.26400000000000001</v>
      </c>
      <c r="O57" s="1">
        <v>0.26400000000000001</v>
      </c>
      <c r="P57" s="1">
        <v>0.26400000000000001</v>
      </c>
      <c r="Q57" s="1">
        <v>0.26400000000000001</v>
      </c>
      <c r="R57" s="1">
        <v>0.26400000000000001</v>
      </c>
      <c r="S57" s="1">
        <v>0.26400000000000001</v>
      </c>
      <c r="T57" s="1">
        <v>0.26400000000000001</v>
      </c>
    </row>
    <row r="58" spans="2:20" x14ac:dyDescent="0.25">
      <c r="B58" t="s">
        <v>18</v>
      </c>
      <c r="C58" s="1"/>
      <c r="D58" s="1"/>
      <c r="E58" s="1">
        <v>0</v>
      </c>
      <c r="F58" s="1">
        <v>4.8000000000000001E-2</v>
      </c>
      <c r="G58" s="1">
        <v>5.8000000000000003E-2</v>
      </c>
      <c r="H58" s="1">
        <v>7.5999999999999998E-2</v>
      </c>
      <c r="I58" s="1">
        <v>0.10199999999999999</v>
      </c>
      <c r="J58" s="1">
        <v>0.13700000000000001</v>
      </c>
      <c r="K58" s="1">
        <v>0.182</v>
      </c>
      <c r="L58" s="1">
        <v>0.23599999999999999</v>
      </c>
      <c r="M58" s="1">
        <v>4.8599999999999997E-2</v>
      </c>
      <c r="N58" s="1">
        <v>8.9499999999999996E-2</v>
      </c>
      <c r="O58" s="1">
        <v>0.36199999999999999</v>
      </c>
      <c r="P58" s="1">
        <v>0.36199999999999999</v>
      </c>
      <c r="Q58" s="1">
        <v>0.11609999999999999</v>
      </c>
      <c r="R58" s="1">
        <v>0.2049</v>
      </c>
      <c r="S58" s="1">
        <v>0.12239999999999999</v>
      </c>
      <c r="T58" s="1">
        <v>0.36199999999999999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4.4999999999999998E-2</v>
      </c>
      <c r="F59" s="1">
        <f t="shared" si="2"/>
        <v>2.9227000000000003</v>
      </c>
      <c r="G59" s="1">
        <f t="shared" si="2"/>
        <v>0.66650000000000009</v>
      </c>
      <c r="H59" s="1">
        <f t="shared" si="2"/>
        <v>1.7958000000000001</v>
      </c>
      <c r="I59" s="1">
        <f t="shared" si="2"/>
        <v>1.5709</v>
      </c>
      <c r="J59" s="1">
        <f t="shared" si="2"/>
        <v>1.7817000000000001</v>
      </c>
      <c r="K59" s="1">
        <f t="shared" si="2"/>
        <v>3.8938999999999999</v>
      </c>
      <c r="L59" s="1">
        <f t="shared" si="2"/>
        <v>3.0055000000000005</v>
      </c>
      <c r="M59" s="1">
        <f t="shared" si="2"/>
        <v>2.9433999999999996</v>
      </c>
      <c r="N59" s="1">
        <f t="shared" si="2"/>
        <v>2.1242999999999999</v>
      </c>
      <c r="O59" s="1">
        <f t="shared" si="2"/>
        <v>6.0284000000000004</v>
      </c>
      <c r="P59" s="1">
        <f t="shared" si="2"/>
        <v>2.214</v>
      </c>
      <c r="Q59" s="1">
        <f t="shared" si="2"/>
        <v>1.9365000000000001</v>
      </c>
      <c r="R59" s="1">
        <f t="shared" si="2"/>
        <v>2.6567000000000003</v>
      </c>
      <c r="S59" s="1">
        <f t="shared" si="2"/>
        <v>1.8147000000000002</v>
      </c>
      <c r="T59" s="1">
        <f t="shared" si="2"/>
        <v>1.3760000000000003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32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1.2999999999999999E-2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0.26860000000000001</v>
      </c>
      <c r="G70" s="1">
        <v>0.4844</v>
      </c>
      <c r="H70" s="1">
        <v>2.3622000000000001</v>
      </c>
      <c r="I70" s="1">
        <v>3.2884000000000002</v>
      </c>
      <c r="J70" s="1">
        <v>2.7664</v>
      </c>
      <c r="K70" s="1">
        <v>3.9066999999999998</v>
      </c>
      <c r="L70" s="1">
        <v>4.6090999999999998</v>
      </c>
      <c r="M70" s="1">
        <v>4.2229000000000001</v>
      </c>
      <c r="N70" s="1">
        <v>3.9878999999999998</v>
      </c>
      <c r="O70" s="1">
        <v>6.6115000000000004</v>
      </c>
      <c r="P70" s="1">
        <v>3.8506999999999998</v>
      </c>
      <c r="Q70" s="1">
        <v>2.8325</v>
      </c>
      <c r="R70" s="1">
        <v>2.6303000000000001</v>
      </c>
      <c r="S70" s="1">
        <v>2.5871</v>
      </c>
      <c r="T70" s="1">
        <v>2.6257000000000001</v>
      </c>
    </row>
    <row r="71" spans="2:20" x14ac:dyDescent="0.25">
      <c r="B71" t="s">
        <v>11</v>
      </c>
      <c r="C71" s="1"/>
      <c r="D71" s="1"/>
      <c r="E71" s="1">
        <v>0</v>
      </c>
      <c r="F71" s="1">
        <v>5.0000000000000001E-3</v>
      </c>
      <c r="G71" s="1">
        <v>5.0000000000000001E-3</v>
      </c>
      <c r="H71" s="1">
        <v>5.0000000000000001E-3</v>
      </c>
      <c r="I71" s="1">
        <v>0.03</v>
      </c>
      <c r="J71" s="1">
        <v>5.3800000000000001E-2</v>
      </c>
      <c r="K71" s="1">
        <v>0.2878</v>
      </c>
      <c r="L71" s="1">
        <v>7.4000000000000003E-3</v>
      </c>
      <c r="M71" s="1">
        <v>5.0000000000000001E-3</v>
      </c>
      <c r="N71" s="1">
        <v>6.1999999999999998E-3</v>
      </c>
      <c r="O71" s="1">
        <v>5.0000000000000001E-3</v>
      </c>
      <c r="P71" s="1">
        <v>5.0000000000000001E-3</v>
      </c>
      <c r="Q71" s="1">
        <v>5.0000000000000001E-3</v>
      </c>
      <c r="R71" s="1">
        <v>5.0000000000000001E-3</v>
      </c>
      <c r="S71" s="1">
        <v>0.23649999999999999</v>
      </c>
      <c r="T71" s="1">
        <v>4.41E-2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0.8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1.63</v>
      </c>
      <c r="L73" s="1">
        <v>0</v>
      </c>
      <c r="M73" s="1">
        <v>1.63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2:20" x14ac:dyDescent="0.25">
      <c r="B74" t="s">
        <v>14</v>
      </c>
      <c r="C74" s="1"/>
      <c r="D74" s="1"/>
      <c r="E74" s="1">
        <v>0</v>
      </c>
      <c r="F74" s="1">
        <v>2.9000000000000001E-2</v>
      </c>
      <c r="G74" s="1">
        <v>0</v>
      </c>
      <c r="H74" s="1">
        <v>0</v>
      </c>
      <c r="I74" s="1">
        <v>9.5999999999999992E-3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2E-3</v>
      </c>
      <c r="Q74" s="1">
        <v>0</v>
      </c>
      <c r="R74" s="1">
        <v>0</v>
      </c>
      <c r="S74" s="1">
        <v>0.02</v>
      </c>
      <c r="T74" s="1">
        <v>0</v>
      </c>
    </row>
    <row r="75" spans="2:20" x14ac:dyDescent="0.25">
      <c r="B75" t="s">
        <v>15</v>
      </c>
      <c r="C75" s="1"/>
      <c r="D75" s="1"/>
      <c r="E75" s="1">
        <v>0</v>
      </c>
      <c r="F75" s="1">
        <v>2.6949999999999998</v>
      </c>
      <c r="G75" s="1">
        <v>0.48</v>
      </c>
      <c r="H75" s="1">
        <v>0.11849999999999999</v>
      </c>
      <c r="I75" s="1">
        <v>8.7400000000000005E-2</v>
      </c>
      <c r="J75" s="1">
        <v>0.22239999999999999</v>
      </c>
      <c r="K75" s="1">
        <v>0.14979999999999999</v>
      </c>
      <c r="L75" s="1">
        <v>0.06</v>
      </c>
      <c r="M75" s="1">
        <v>0.1081</v>
      </c>
      <c r="N75" s="1">
        <v>6.9000000000000006E-2</v>
      </c>
      <c r="O75" s="1">
        <v>0.1027</v>
      </c>
      <c r="P75" s="1">
        <v>0.14000000000000001</v>
      </c>
      <c r="Q75" s="1">
        <v>0.17399999999999999</v>
      </c>
      <c r="R75" s="1">
        <v>0.12620000000000001</v>
      </c>
      <c r="S75" s="1">
        <v>0.15179999999999999</v>
      </c>
      <c r="T75" s="1">
        <v>0.154</v>
      </c>
    </row>
    <row r="76" spans="2:20" x14ac:dyDescent="0.25">
      <c r="B76" t="s">
        <v>16</v>
      </c>
      <c r="C76" s="1"/>
      <c r="D76" s="1"/>
      <c r="E76" s="1">
        <v>0</v>
      </c>
      <c r="F76" s="1">
        <v>2.0142000000000002</v>
      </c>
      <c r="G76" s="1">
        <v>1.9954000000000001</v>
      </c>
      <c r="H76" s="1">
        <v>3.9834000000000001</v>
      </c>
      <c r="I76" s="1">
        <v>3.9874999999999998</v>
      </c>
      <c r="J76" s="1">
        <v>3.6566000000000001</v>
      </c>
      <c r="K76" s="1">
        <v>3.3256999999999999</v>
      </c>
      <c r="L76" s="1">
        <v>1.3250999999999999</v>
      </c>
      <c r="M76" s="1">
        <v>1.3561000000000001</v>
      </c>
      <c r="N76" s="1">
        <v>1.3640000000000001</v>
      </c>
      <c r="O76" s="1">
        <v>1.7299</v>
      </c>
      <c r="P76" s="1">
        <v>2.0958000000000001</v>
      </c>
      <c r="Q76" s="1">
        <v>1.9460999999999999</v>
      </c>
      <c r="R76" s="1">
        <v>1.7182999999999999</v>
      </c>
      <c r="S76" s="1">
        <v>1.4823</v>
      </c>
      <c r="T76" s="1">
        <v>1.661</v>
      </c>
    </row>
    <row r="77" spans="2:20" x14ac:dyDescent="0.25">
      <c r="B77" t="s">
        <v>17</v>
      </c>
      <c r="C77" s="1"/>
      <c r="D77" s="1"/>
      <c r="E77" s="1">
        <v>0</v>
      </c>
      <c r="F77" s="1">
        <v>2.76</v>
      </c>
      <c r="G77" s="1">
        <v>4.91</v>
      </c>
      <c r="H77" s="1">
        <v>3.1</v>
      </c>
      <c r="I77" s="1">
        <v>1.4770000000000001</v>
      </c>
      <c r="J77" s="1">
        <v>2.4649999999999999</v>
      </c>
      <c r="K77" s="1">
        <v>3.67</v>
      </c>
      <c r="L77" s="1">
        <v>3.36</v>
      </c>
      <c r="M77" s="1">
        <v>3</v>
      </c>
      <c r="N77" s="1">
        <v>3.3639999999999999</v>
      </c>
      <c r="O77" s="1">
        <v>2.3039999999999998</v>
      </c>
      <c r="P77" s="1">
        <v>3.3092000000000001</v>
      </c>
      <c r="Q77" s="1">
        <v>3.0291999999999999</v>
      </c>
      <c r="R77" s="1">
        <v>4.4992000000000001</v>
      </c>
      <c r="S77" s="1">
        <v>4.6791999999999998</v>
      </c>
      <c r="T77" s="1">
        <v>4.1391999999999998</v>
      </c>
    </row>
    <row r="78" spans="2:20" x14ac:dyDescent="0.25">
      <c r="B78" t="s">
        <v>18</v>
      </c>
      <c r="C78" s="1"/>
      <c r="D78" s="1"/>
      <c r="E78" s="1">
        <v>0</v>
      </c>
      <c r="F78" s="1">
        <v>0.67800000000000005</v>
      </c>
      <c r="G78" s="1">
        <v>0.80800000000000005</v>
      </c>
      <c r="H78" s="1">
        <v>0.79600000000000004</v>
      </c>
      <c r="I78" s="1">
        <v>0.83199999999999996</v>
      </c>
      <c r="J78" s="1">
        <v>0.54549999999999998</v>
      </c>
      <c r="K78" s="1">
        <v>0.26900000000000002</v>
      </c>
      <c r="L78" s="1">
        <v>0.28339999999999999</v>
      </c>
      <c r="M78" s="1">
        <v>0</v>
      </c>
      <c r="N78" s="1">
        <v>0</v>
      </c>
      <c r="O78" s="1">
        <v>0.38579999999999998</v>
      </c>
      <c r="P78" s="1">
        <v>0.49909999999999999</v>
      </c>
      <c r="Q78" s="1">
        <v>0</v>
      </c>
      <c r="R78" s="1">
        <v>0</v>
      </c>
      <c r="S78" s="1">
        <v>0</v>
      </c>
      <c r="T78" s="1">
        <v>1.5901000000000001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8.4497999999999998</v>
      </c>
      <c r="G79" s="1">
        <f t="shared" si="3"/>
        <v>8.6828000000000003</v>
      </c>
      <c r="H79" s="1">
        <f t="shared" si="3"/>
        <v>10.3651</v>
      </c>
      <c r="I79" s="1">
        <f t="shared" si="3"/>
        <v>9.7119</v>
      </c>
      <c r="J79" s="1">
        <f t="shared" si="3"/>
        <v>9.7096999999999998</v>
      </c>
      <c r="K79" s="1">
        <f t="shared" si="3"/>
        <v>13.238999999999999</v>
      </c>
      <c r="L79" s="1">
        <f t="shared" si="3"/>
        <v>9.6449999999999996</v>
      </c>
      <c r="M79" s="1">
        <f t="shared" si="3"/>
        <v>10.335100000000001</v>
      </c>
      <c r="N79" s="1">
        <f t="shared" si="3"/>
        <v>8.7911000000000001</v>
      </c>
      <c r="O79" s="1">
        <f t="shared" si="3"/>
        <v>11.9389</v>
      </c>
      <c r="P79" s="1">
        <f t="shared" si="3"/>
        <v>9.9017999999999997</v>
      </c>
      <c r="Q79" s="1">
        <f t="shared" si="3"/>
        <v>7.9867999999999988</v>
      </c>
      <c r="R79" s="1">
        <f t="shared" si="3"/>
        <v>8.9789999999999992</v>
      </c>
      <c r="S79" s="1">
        <f t="shared" si="3"/>
        <v>9.1569000000000003</v>
      </c>
      <c r="T79" s="1">
        <f t="shared" si="3"/>
        <v>10.214099999999998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33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>
        <v>40.308000272000093</v>
      </c>
      <c r="G9" s="5">
        <f>(F9+H9)/2</f>
        <v>37.065888115000085</v>
      </c>
      <c r="H9" s="1">
        <v>33.823775958000077</v>
      </c>
      <c r="I9" s="5">
        <f>(H9+J9)/2</f>
        <v>22.564499153000039</v>
      </c>
      <c r="J9" s="1">
        <v>11.305222347999999</v>
      </c>
      <c r="K9" s="5">
        <f>(J9+L9)/2</f>
        <v>9.344346500000011</v>
      </c>
      <c r="L9" s="1">
        <v>7.3834706520000237</v>
      </c>
      <c r="M9" s="5">
        <f>(L9+N9)/2</f>
        <v>6.7708382140000154</v>
      </c>
      <c r="N9" s="1">
        <v>6.158205776000008</v>
      </c>
      <c r="O9" s="5">
        <f>(N9+P9)/2</f>
        <v>3.8323419570000032</v>
      </c>
      <c r="P9" s="1">
        <v>1.5064781379999981</v>
      </c>
      <c r="Q9" s="5">
        <f>(P9+R9)/2</f>
        <v>1.0836421339999995</v>
      </c>
      <c r="R9" s="1">
        <v>0.66080613000000088</v>
      </c>
      <c r="S9" s="5">
        <f>(R9+T9)/2</f>
        <v>0.65697767800000095</v>
      </c>
      <c r="T9" s="1">
        <v>0.65314922600000092</v>
      </c>
    </row>
    <row r="10" spans="2:20" x14ac:dyDescent="0.25">
      <c r="B10" t="s">
        <v>10</v>
      </c>
      <c r="C10" s="1"/>
      <c r="D10" s="1"/>
      <c r="E10" s="1"/>
      <c r="F10" s="1">
        <v>123.5675259380002</v>
      </c>
      <c r="G10" s="5">
        <f>(F10+H10)/2</f>
        <v>119.88775782900015</v>
      </c>
      <c r="H10" s="1">
        <v>116.2079897200001</v>
      </c>
      <c r="I10" s="5">
        <f>(H10+J10)/2</f>
        <v>120.42120135500005</v>
      </c>
      <c r="J10" s="1">
        <v>124.63441299</v>
      </c>
      <c r="K10" s="5">
        <f>(J10+L10)/2</f>
        <v>126.85348275499999</v>
      </c>
      <c r="L10" s="1">
        <v>129.07255251999999</v>
      </c>
      <c r="M10" s="5">
        <f>(L10+N10)/2</f>
        <v>134.662331392</v>
      </c>
      <c r="N10" s="1">
        <v>140.25211026400001</v>
      </c>
      <c r="O10" s="5">
        <f>(N10+P10)/2</f>
        <v>137.33277749000001</v>
      </c>
      <c r="P10" s="1">
        <v>134.41344471599999</v>
      </c>
      <c r="Q10" s="5">
        <f>(P10+R10)/2</f>
        <v>135.40223714399991</v>
      </c>
      <c r="R10" s="1">
        <v>136.39102957199981</v>
      </c>
      <c r="S10" s="5">
        <f>(R10+T10)/2</f>
        <v>131.79250420999989</v>
      </c>
      <c r="T10" s="1">
        <v>127.193978848</v>
      </c>
    </row>
    <row r="11" spans="2:20" x14ac:dyDescent="0.25">
      <c r="B11" t="s">
        <v>11</v>
      </c>
      <c r="C11" s="1"/>
      <c r="D11" s="1"/>
      <c r="E11" s="1"/>
      <c r="F11" s="1">
        <v>176.13583454599981</v>
      </c>
      <c r="G11" s="5">
        <f>(F11+H11)/2</f>
        <v>175.33829184099986</v>
      </c>
      <c r="H11" s="1">
        <v>174.5407491359999</v>
      </c>
      <c r="I11" s="5">
        <f>(H11+J11)/2</f>
        <v>173.15813149499996</v>
      </c>
      <c r="J11" s="1">
        <v>171.775513854</v>
      </c>
      <c r="K11" s="5">
        <f>(J11+L11)/2</f>
        <v>171.5824864710001</v>
      </c>
      <c r="L11" s="1">
        <v>171.38945908800019</v>
      </c>
      <c r="M11" s="5">
        <f>(L11+N11)/2</f>
        <v>170.96465712800014</v>
      </c>
      <c r="N11" s="1">
        <v>170.53985516800009</v>
      </c>
      <c r="O11" s="5">
        <f>(N11+P11)/2</f>
        <v>169.90185751300015</v>
      </c>
      <c r="P11" s="1">
        <v>169.26385985800019</v>
      </c>
      <c r="Q11" s="5">
        <f>(P11+R11)/2</f>
        <v>169.07102950400019</v>
      </c>
      <c r="R11" s="1">
        <v>168.8781991500002</v>
      </c>
      <c r="S11" s="5">
        <f>(R11+T11)/2</f>
        <v>167.77439308800029</v>
      </c>
      <c r="T11" s="1">
        <v>166.67058702600039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0.41441891800000002</v>
      </c>
      <c r="Q12" s="5">
        <f>(P12+R12)/2</f>
        <v>0.69515147499999985</v>
      </c>
      <c r="R12" s="1">
        <v>0.97588403199999973</v>
      </c>
      <c r="S12" s="5">
        <f>(R12+T12)/2</f>
        <v>1.2563268859999999</v>
      </c>
      <c r="T12" s="1">
        <v>1.53676974</v>
      </c>
    </row>
    <row r="13" spans="2:20" x14ac:dyDescent="0.25">
      <c r="B13" t="s">
        <v>13</v>
      </c>
      <c r="C13" s="1"/>
      <c r="D13" s="1"/>
      <c r="E13" s="1"/>
      <c r="F13" s="1">
        <v>180.7560495980006</v>
      </c>
      <c r="G13" s="5">
        <f>(F13+H13)/2</f>
        <v>184.89659028300051</v>
      </c>
      <c r="H13" s="1">
        <v>189.03713096800041</v>
      </c>
      <c r="I13" s="5">
        <f>(H13+J13)/2</f>
        <v>189.35291553100035</v>
      </c>
      <c r="J13" s="1">
        <v>189.66870009400029</v>
      </c>
      <c r="K13" s="5">
        <f>(J13+L13)/2</f>
        <v>190.05733002700029</v>
      </c>
      <c r="L13" s="1">
        <v>190.44595996000029</v>
      </c>
      <c r="M13" s="5">
        <f>(L13+N13)/2</f>
        <v>190.88209302200028</v>
      </c>
      <c r="N13" s="1">
        <v>191.31822608400029</v>
      </c>
      <c r="O13" s="5">
        <f>(N13+P13)/2</f>
        <v>195.97639797000025</v>
      </c>
      <c r="P13" s="1">
        <v>200.63456985600021</v>
      </c>
      <c r="Q13" s="5">
        <f>(P13+R13)/2</f>
        <v>206.33001210500015</v>
      </c>
      <c r="R13" s="1">
        <v>212.02545435400009</v>
      </c>
      <c r="S13" s="5">
        <f>(R13+T13)/2</f>
        <v>229.0044577040004</v>
      </c>
      <c r="T13" s="1">
        <v>245.98346105400071</v>
      </c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58.156221097999833</v>
      </c>
      <c r="G15" s="5">
        <f>(F15+H15)/2</f>
        <v>58.280041913999753</v>
      </c>
      <c r="H15" s="1">
        <v>58.40386272999968</v>
      </c>
      <c r="I15" s="5">
        <f>(H15+J15)/2</f>
        <v>59.310014636999838</v>
      </c>
      <c r="J15" s="1">
        <v>60.216166543999996</v>
      </c>
      <c r="K15" s="5">
        <f>(J15+L15)/2</f>
        <v>61.657504603999939</v>
      </c>
      <c r="L15" s="1">
        <v>63.098842663999882</v>
      </c>
      <c r="M15" s="5">
        <f>(L15+N15)/2</f>
        <v>63.704257132999828</v>
      </c>
      <c r="N15" s="1">
        <v>64.309671601999767</v>
      </c>
      <c r="O15" s="5">
        <f>(N15+P15)/2</f>
        <v>66.193796184999769</v>
      </c>
      <c r="P15" s="1">
        <v>68.077920767999757</v>
      </c>
      <c r="Q15" s="5">
        <f>(P15+R15)/2</f>
        <v>69.355158549999857</v>
      </c>
      <c r="R15" s="1">
        <v>70.632396331999942</v>
      </c>
      <c r="S15" s="5">
        <f>(R15+T15)/2</f>
        <v>71.18906262500002</v>
      </c>
      <c r="T15" s="1">
        <v>71.745728918000111</v>
      </c>
    </row>
    <row r="16" spans="2:20" x14ac:dyDescent="0.25">
      <c r="B16" t="s">
        <v>16</v>
      </c>
      <c r="C16" s="1"/>
      <c r="D16" s="1"/>
      <c r="E16" s="1"/>
      <c r="F16" s="1">
        <v>136.138702946</v>
      </c>
      <c r="G16" s="5">
        <f>(F16+H16)/2</f>
        <v>152.22536587600001</v>
      </c>
      <c r="H16" s="1">
        <v>168.312028806</v>
      </c>
      <c r="I16" s="5">
        <f>(H16+J16)/2</f>
        <v>180.97622621599999</v>
      </c>
      <c r="J16" s="1">
        <v>193.640423626</v>
      </c>
      <c r="K16" s="5">
        <f>(J16+L16)/2</f>
        <v>202.714687849</v>
      </c>
      <c r="L16" s="1">
        <v>211.788952072</v>
      </c>
      <c r="M16" s="5">
        <f>(L16+N16)/2</f>
        <v>220.656403138</v>
      </c>
      <c r="N16" s="1">
        <v>229.523854204</v>
      </c>
      <c r="O16" s="5">
        <f>(N16+P16)/2</f>
        <v>239.67425248699999</v>
      </c>
      <c r="P16" s="1">
        <v>249.82465077000001</v>
      </c>
      <c r="Q16" s="5">
        <f>(P16+R16)/2</f>
        <v>261.75007854099999</v>
      </c>
      <c r="R16" s="1">
        <v>273.67550631199992</v>
      </c>
      <c r="S16" s="5">
        <f>(R16+T16)/2</f>
        <v>283.75568677899997</v>
      </c>
      <c r="T16" s="1">
        <v>293.83586724600002</v>
      </c>
    </row>
    <row r="17" spans="2:20" x14ac:dyDescent="0.25">
      <c r="B17" t="s">
        <v>17</v>
      </c>
      <c r="C17" s="1"/>
      <c r="D17" s="1"/>
      <c r="E17" s="1"/>
      <c r="F17" s="1">
        <v>41.436383316000011</v>
      </c>
      <c r="G17" s="5">
        <f>(F17+H17)/2</f>
        <v>44.536087808000012</v>
      </c>
      <c r="H17" s="1">
        <v>47.635792300000013</v>
      </c>
      <c r="I17" s="5">
        <f>(H17+J17)/2</f>
        <v>55.687216481999997</v>
      </c>
      <c r="J17" s="1">
        <v>63.738640663999988</v>
      </c>
      <c r="K17" s="5">
        <f>(J17+L17)/2</f>
        <v>77.207174989000009</v>
      </c>
      <c r="L17" s="1">
        <v>90.675709314000017</v>
      </c>
      <c r="M17" s="5">
        <f>(L17+N17)/2</f>
        <v>112.38970599100001</v>
      </c>
      <c r="N17" s="1">
        <v>134.10370266800001</v>
      </c>
      <c r="O17" s="5">
        <f>(N17+P17)/2</f>
        <v>150.40147272500002</v>
      </c>
      <c r="P17" s="1">
        <v>166.699242782</v>
      </c>
      <c r="Q17" s="5">
        <f>(P17+R17)/2</f>
        <v>181.70841221099994</v>
      </c>
      <c r="R17" s="1">
        <v>196.71758163999991</v>
      </c>
      <c r="S17" s="5">
        <f>(R17+T17)/2</f>
        <v>213.662587452</v>
      </c>
      <c r="T17" s="1">
        <v>230.60759326400009</v>
      </c>
    </row>
    <row r="18" spans="2:20" x14ac:dyDescent="0.25">
      <c r="B18" t="s">
        <v>18</v>
      </c>
      <c r="C18" s="1"/>
      <c r="D18" s="1"/>
      <c r="E18" s="1"/>
      <c r="F18" s="1">
        <v>187.276682634</v>
      </c>
      <c r="G18" s="5">
        <f>(F18+H18)/2</f>
        <v>195.998700547</v>
      </c>
      <c r="H18" s="1">
        <v>204.72071846</v>
      </c>
      <c r="I18" s="5">
        <f>(H18+J18)/2</f>
        <v>210.92713265899999</v>
      </c>
      <c r="J18" s="1">
        <v>217.13354685799999</v>
      </c>
      <c r="K18" s="5">
        <f>(J18+L18)/2</f>
        <v>221.531234958</v>
      </c>
      <c r="L18" s="1">
        <v>225.92892305800001</v>
      </c>
      <c r="M18" s="5">
        <f>(L18+N18)/2</f>
        <v>229.16961045100001</v>
      </c>
      <c r="N18" s="1">
        <v>232.41029784400001</v>
      </c>
      <c r="O18" s="5">
        <f>(N18+P18)/2</f>
        <v>237.921427446</v>
      </c>
      <c r="P18" s="1">
        <v>243.43255704800001</v>
      </c>
      <c r="Q18" s="5">
        <f>(P18+R18)/2</f>
        <v>248.49175003899995</v>
      </c>
      <c r="R18" s="1">
        <v>253.5509430299999</v>
      </c>
      <c r="S18" s="5">
        <f>(R18+T18)/2</f>
        <v>257.57120158899994</v>
      </c>
      <c r="T18" s="1">
        <v>261.59146014800001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943.77540034800063</v>
      </c>
      <c r="G19" s="5">
        <f t="shared" si="0"/>
        <v>968.22872421300031</v>
      </c>
      <c r="H19" s="1">
        <f t="shared" si="0"/>
        <v>992.68204807800021</v>
      </c>
      <c r="I19" s="5">
        <f t="shared" si="0"/>
        <v>1012.3973375280003</v>
      </c>
      <c r="J19" s="1">
        <f t="shared" si="0"/>
        <v>1032.1126269780002</v>
      </c>
      <c r="K19" s="5">
        <f t="shared" si="0"/>
        <v>1060.9482481530003</v>
      </c>
      <c r="L19" s="1">
        <f t="shared" si="0"/>
        <v>1089.7838693280005</v>
      </c>
      <c r="M19" s="5">
        <f t="shared" si="0"/>
        <v>1129.1998964690004</v>
      </c>
      <c r="N19" s="1">
        <f t="shared" si="0"/>
        <v>1168.6159236100002</v>
      </c>
      <c r="O19" s="5">
        <f t="shared" si="0"/>
        <v>1201.2343237730001</v>
      </c>
      <c r="P19" s="1">
        <f t="shared" si="0"/>
        <v>1234.2671428540002</v>
      </c>
      <c r="Q19" s="5">
        <f t="shared" si="0"/>
        <v>1273.8874717029998</v>
      </c>
      <c r="R19" s="1">
        <f t="shared" si="0"/>
        <v>1313.5078005519997</v>
      </c>
      <c r="S19" s="5">
        <f t="shared" si="0"/>
        <v>1356.6631980110005</v>
      </c>
      <c r="T19" s="1">
        <f t="shared" si="0"/>
        <v>1399.8185954700011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T79"/>
  <sheetViews>
    <sheetView topLeftCell="A55" workbookViewId="0">
      <selection activeCell="M81" sqref="M81"/>
    </sheetView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33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26.021999999999998</v>
      </c>
      <c r="F9" s="1">
        <v>26.116700000000002</v>
      </c>
      <c r="G9" s="1">
        <v>25.816700000000001</v>
      </c>
      <c r="H9" s="1">
        <v>24.622499999999999</v>
      </c>
      <c r="I9" s="1">
        <v>15.6633</v>
      </c>
      <c r="J9" s="1">
        <v>10.580299999999999</v>
      </c>
      <c r="K9" s="1">
        <v>9.3735999999999997</v>
      </c>
      <c r="L9" s="1">
        <v>7.4701000000000004</v>
      </c>
      <c r="M9" s="1">
        <v>6.3421000000000003</v>
      </c>
      <c r="N9" s="1">
        <v>5.9720999999999993</v>
      </c>
      <c r="O9" s="1">
        <v>5.6729000000000003</v>
      </c>
      <c r="P9" s="1">
        <v>5.4447000000000001</v>
      </c>
      <c r="Q9" s="1">
        <v>4.2584999999999997</v>
      </c>
      <c r="R9" s="1">
        <v>3.6065999999999998</v>
      </c>
      <c r="S9" s="1">
        <v>2.6193</v>
      </c>
      <c r="T9" s="1">
        <v>2.6193</v>
      </c>
    </row>
    <row r="10" spans="2:20" x14ac:dyDescent="0.25">
      <c r="B10" t="s">
        <v>10</v>
      </c>
      <c r="C10" s="1"/>
      <c r="D10" s="1"/>
      <c r="E10" s="1">
        <v>64</v>
      </c>
      <c r="F10" s="1">
        <v>64.287499999999994</v>
      </c>
      <c r="G10" s="1">
        <v>65.165999999999997</v>
      </c>
      <c r="H10" s="1">
        <v>68.122299999999996</v>
      </c>
      <c r="I10" s="1">
        <v>71.127200000000002</v>
      </c>
      <c r="J10" s="1">
        <v>73.682199999999995</v>
      </c>
      <c r="K10" s="1">
        <v>75.787099999999995</v>
      </c>
      <c r="L10" s="1">
        <v>76.709999999999994</v>
      </c>
      <c r="M10" s="1">
        <v>78.400000000000006</v>
      </c>
      <c r="N10" s="1">
        <v>81.8</v>
      </c>
      <c r="O10" s="1">
        <v>83.674199999999999</v>
      </c>
      <c r="P10" s="1">
        <v>86.350000000000009</v>
      </c>
      <c r="Q10" s="1">
        <v>87.5625</v>
      </c>
      <c r="R10" s="1">
        <v>90.174999999999997</v>
      </c>
      <c r="S10" s="1">
        <v>92.387499999999989</v>
      </c>
      <c r="T10" s="1">
        <v>95</v>
      </c>
    </row>
    <row r="11" spans="2:20" x14ac:dyDescent="0.25">
      <c r="B11" t="s">
        <v>11</v>
      </c>
      <c r="C11" s="1"/>
      <c r="D11" s="1"/>
      <c r="E11" s="1">
        <v>49.989999999999988</v>
      </c>
      <c r="F11" s="1">
        <v>50.116999999999997</v>
      </c>
      <c r="G11" s="1">
        <v>50.194000000000003</v>
      </c>
      <c r="H11" s="1">
        <v>50.320999999999998</v>
      </c>
      <c r="I11" s="1">
        <v>50.633000000000003</v>
      </c>
      <c r="J11" s="1">
        <v>50.847499999999997</v>
      </c>
      <c r="K11" s="1">
        <v>50.964500000000001</v>
      </c>
      <c r="L11" s="1">
        <v>51.031499999999987</v>
      </c>
      <c r="M11" s="1">
        <v>51.098500000000001</v>
      </c>
      <c r="N11" s="1">
        <v>51.215499999999999</v>
      </c>
      <c r="O11" s="1">
        <v>51.352499999999999</v>
      </c>
      <c r="P11" s="1">
        <v>51.509500000000003</v>
      </c>
      <c r="Q11" s="1">
        <v>51.576500000000003</v>
      </c>
      <c r="R11" s="1">
        <v>51.633499999999998</v>
      </c>
      <c r="S11" s="1">
        <v>51.845500000000001</v>
      </c>
      <c r="T11" s="1">
        <v>52.002499999999998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0.4</v>
      </c>
      <c r="Q12" s="1">
        <v>0.4</v>
      </c>
      <c r="R12" s="1">
        <v>0.4</v>
      </c>
      <c r="S12" s="1">
        <v>0.6</v>
      </c>
      <c r="T12" s="1">
        <v>0.6</v>
      </c>
    </row>
    <row r="13" spans="2:20" x14ac:dyDescent="0.25">
      <c r="B13" t="s">
        <v>13</v>
      </c>
      <c r="C13" s="1"/>
      <c r="D13" s="1">
        <v>27.888999999999999</v>
      </c>
      <c r="E13" s="1">
        <v>27.888999999999999</v>
      </c>
      <c r="F13" s="1">
        <v>25.989000000000001</v>
      </c>
      <c r="G13" s="1">
        <v>25.989000000000001</v>
      </c>
      <c r="H13" s="1">
        <v>25.989000000000001</v>
      </c>
      <c r="I13" s="1">
        <v>26.896999999999998</v>
      </c>
      <c r="J13" s="1">
        <v>26.896999999999998</v>
      </c>
      <c r="K13" s="1">
        <v>26.896999999999998</v>
      </c>
      <c r="L13" s="1">
        <v>26.896999999999998</v>
      </c>
      <c r="M13" s="1">
        <v>26.896999999999998</v>
      </c>
      <c r="N13" s="1">
        <v>26.896999999999998</v>
      </c>
      <c r="O13" s="1">
        <v>28.655000000000001</v>
      </c>
      <c r="P13" s="1">
        <v>29.099</v>
      </c>
      <c r="Q13" s="1">
        <v>29.099</v>
      </c>
      <c r="R13" s="1">
        <v>29.099</v>
      </c>
      <c r="S13" s="1">
        <v>29.105</v>
      </c>
      <c r="T13" s="1">
        <v>29.105</v>
      </c>
    </row>
    <row r="14" spans="2:20" x14ac:dyDescent="0.25">
      <c r="B14" t="s">
        <v>14</v>
      </c>
      <c r="C14" s="1"/>
      <c r="D14" s="1"/>
      <c r="E14" s="1">
        <v>5.8049999999999997</v>
      </c>
      <c r="F14" s="1">
        <v>5.6943999999999999</v>
      </c>
      <c r="G14" s="1">
        <v>5.6943999999999999</v>
      </c>
      <c r="H14" s="1">
        <v>5.6943999999999999</v>
      </c>
      <c r="I14" s="1">
        <v>4.8338000000000001</v>
      </c>
      <c r="J14" s="1">
        <v>4.3482000000000003</v>
      </c>
      <c r="K14" s="1">
        <v>4.2374000000000001</v>
      </c>
      <c r="L14" s="1">
        <v>3.8582999999999998</v>
      </c>
      <c r="M14" s="1">
        <v>3.8582999999999998</v>
      </c>
      <c r="N14" s="1">
        <v>3.1680999999999999</v>
      </c>
      <c r="O14" s="1">
        <v>2.7730000000000001</v>
      </c>
      <c r="P14" s="1">
        <v>2.673</v>
      </c>
      <c r="Q14" s="1">
        <v>2.2372000000000001</v>
      </c>
      <c r="R14" s="1">
        <v>1.7306999999999999</v>
      </c>
      <c r="S14" s="1">
        <v>1.3857999999999999</v>
      </c>
      <c r="T14" s="1">
        <v>1.103</v>
      </c>
    </row>
    <row r="15" spans="2:20" x14ac:dyDescent="0.25">
      <c r="B15" t="s">
        <v>15</v>
      </c>
      <c r="C15" s="1"/>
      <c r="D15" s="1"/>
      <c r="E15" s="1">
        <v>16.152999999999999</v>
      </c>
      <c r="F15" s="1">
        <v>16.312200000000001</v>
      </c>
      <c r="G15" s="1">
        <v>16.3261</v>
      </c>
      <c r="H15" s="1">
        <v>16.216999999999999</v>
      </c>
      <c r="I15" s="1">
        <v>16.179099999999998</v>
      </c>
      <c r="J15" s="1">
        <v>16.2469</v>
      </c>
      <c r="K15" s="1">
        <v>16.420200000000001</v>
      </c>
      <c r="L15" s="1">
        <v>16.682300000000001</v>
      </c>
      <c r="M15" s="1">
        <v>16.584299999999999</v>
      </c>
      <c r="N15" s="1">
        <v>16.702300000000001</v>
      </c>
      <c r="O15" s="1">
        <v>17.006799999999998</v>
      </c>
      <c r="P15" s="1">
        <v>17.497800000000002</v>
      </c>
      <c r="Q15" s="1">
        <v>17.785599999999999</v>
      </c>
      <c r="R15" s="1">
        <v>18.097300000000001</v>
      </c>
      <c r="S15" s="1">
        <v>18.372900000000001</v>
      </c>
      <c r="T15" s="1">
        <v>18.415099999999999</v>
      </c>
    </row>
    <row r="16" spans="2:20" x14ac:dyDescent="0.25">
      <c r="B16" t="s">
        <v>16</v>
      </c>
      <c r="C16" s="1"/>
      <c r="D16" s="1"/>
      <c r="E16" s="1">
        <v>122.63800000000001</v>
      </c>
      <c r="F16" s="1">
        <v>144.21199999999999</v>
      </c>
      <c r="G16" s="1">
        <v>164.47710000000001</v>
      </c>
      <c r="H16" s="1">
        <v>183.13890000000001</v>
      </c>
      <c r="I16" s="1">
        <v>197.98240000000001</v>
      </c>
      <c r="J16" s="1">
        <v>212.76920000000001</v>
      </c>
      <c r="K16" s="1">
        <v>227.49950000000001</v>
      </c>
      <c r="L16" s="1">
        <v>242.2296</v>
      </c>
      <c r="M16" s="1">
        <v>256.9597</v>
      </c>
      <c r="N16" s="1">
        <v>271.68990000000002</v>
      </c>
      <c r="O16" s="1">
        <v>284.0274</v>
      </c>
      <c r="P16" s="1">
        <v>293.97230000000002</v>
      </c>
      <c r="Q16" s="1">
        <v>303.96589999999998</v>
      </c>
      <c r="R16" s="1">
        <v>314.30799999999999</v>
      </c>
      <c r="S16" s="1">
        <v>326.2824</v>
      </c>
      <c r="T16" s="1">
        <v>340.76569999999998</v>
      </c>
    </row>
    <row r="17" spans="2:20" x14ac:dyDescent="0.25">
      <c r="B17" t="s">
        <v>17</v>
      </c>
      <c r="C17" s="1"/>
      <c r="D17" s="1"/>
      <c r="E17" s="1">
        <v>9.6649999999999991</v>
      </c>
      <c r="F17" s="1">
        <v>11.305</v>
      </c>
      <c r="G17" s="1">
        <v>12.234999999999999</v>
      </c>
      <c r="H17" s="1">
        <v>12.234999999999999</v>
      </c>
      <c r="I17" s="1">
        <v>13.225</v>
      </c>
      <c r="J17" s="1">
        <v>14.395</v>
      </c>
      <c r="K17" s="1">
        <v>15.744999999999999</v>
      </c>
      <c r="L17" s="1">
        <v>19.425000000000001</v>
      </c>
      <c r="M17" s="1">
        <v>23.125</v>
      </c>
      <c r="N17" s="1">
        <v>27.274999999999999</v>
      </c>
      <c r="O17" s="1">
        <v>30.95</v>
      </c>
      <c r="P17" s="1">
        <v>34.15</v>
      </c>
      <c r="Q17" s="1">
        <v>38.5334</v>
      </c>
      <c r="R17" s="1">
        <v>40.904699999999998</v>
      </c>
      <c r="S17" s="1">
        <v>45.580599999999997</v>
      </c>
      <c r="T17" s="1">
        <v>49.424500000000002</v>
      </c>
    </row>
    <row r="18" spans="2:20" x14ac:dyDescent="0.25">
      <c r="B18" t="s">
        <v>18</v>
      </c>
      <c r="C18" s="1"/>
      <c r="D18" s="1"/>
      <c r="E18" s="1">
        <v>73.08</v>
      </c>
      <c r="F18" s="1">
        <v>76.569999999999993</v>
      </c>
      <c r="G18" s="1">
        <v>80.540000000000006</v>
      </c>
      <c r="H18" s="1">
        <v>84.65</v>
      </c>
      <c r="I18" s="1">
        <v>89.12</v>
      </c>
      <c r="J18" s="1">
        <v>93.204999999999998</v>
      </c>
      <c r="K18" s="1">
        <v>96.905000000000001</v>
      </c>
      <c r="L18" s="1">
        <v>100.58499999999999</v>
      </c>
      <c r="M18" s="1">
        <v>104.41500000000001</v>
      </c>
      <c r="N18" s="1">
        <v>108.30500000000001</v>
      </c>
      <c r="O18" s="1">
        <v>111.16970000000001</v>
      </c>
      <c r="P18" s="1">
        <v>113.0089</v>
      </c>
      <c r="Q18" s="1">
        <v>114.7184</v>
      </c>
      <c r="R18" s="1">
        <v>116.465</v>
      </c>
      <c r="S18" s="1">
        <v>118.2169</v>
      </c>
      <c r="T18" s="1">
        <v>120.18210000000001</v>
      </c>
    </row>
    <row r="19" spans="2:20" x14ac:dyDescent="0.25">
      <c r="B19" t="s">
        <v>19</v>
      </c>
      <c r="C19" s="1"/>
      <c r="D19" s="1">
        <f t="shared" ref="D19:T19" si="0">SUM(D9:D18)</f>
        <v>27.888999999999999</v>
      </c>
      <c r="E19" s="1">
        <f t="shared" si="0"/>
        <v>395.24199999999996</v>
      </c>
      <c r="F19" s="1">
        <f t="shared" si="0"/>
        <v>420.60379999999998</v>
      </c>
      <c r="G19" s="1">
        <f t="shared" si="0"/>
        <v>446.43830000000003</v>
      </c>
      <c r="H19" s="1">
        <f t="shared" si="0"/>
        <v>470.99009999999998</v>
      </c>
      <c r="I19" s="1">
        <f t="shared" si="0"/>
        <v>485.66080000000005</v>
      </c>
      <c r="J19" s="1">
        <f t="shared" si="0"/>
        <v>502.97129999999999</v>
      </c>
      <c r="K19" s="1">
        <f t="shared" si="0"/>
        <v>523.82929999999999</v>
      </c>
      <c r="L19" s="1">
        <f t="shared" si="0"/>
        <v>544.88879999999995</v>
      </c>
      <c r="M19" s="1">
        <f t="shared" si="0"/>
        <v>567.67989999999998</v>
      </c>
      <c r="N19" s="1">
        <f t="shared" si="0"/>
        <v>593.0249</v>
      </c>
      <c r="O19" s="1">
        <f t="shared" si="0"/>
        <v>615.28149999999994</v>
      </c>
      <c r="P19" s="1">
        <f t="shared" si="0"/>
        <v>634.10520000000008</v>
      </c>
      <c r="Q19" s="1">
        <f t="shared" si="0"/>
        <v>650.13699999999994</v>
      </c>
      <c r="R19" s="1">
        <f t="shared" si="0"/>
        <v>666.41980000000001</v>
      </c>
      <c r="S19" s="1">
        <f t="shared" si="0"/>
        <v>686.39589999999998</v>
      </c>
      <c r="T19" s="1">
        <f t="shared" si="0"/>
        <v>709.21719999999993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33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9.4700000000000006E-2</v>
      </c>
      <c r="G29" s="1">
        <v>-0.3</v>
      </c>
      <c r="H29" s="1">
        <v>-1.1941999999999999</v>
      </c>
      <c r="I29" s="1">
        <v>-8.9591999999999992</v>
      </c>
      <c r="J29" s="1">
        <v>-5.0830000000000002</v>
      </c>
      <c r="K29" s="1">
        <v>-1.2067000000000001</v>
      </c>
      <c r="L29" s="1">
        <v>-1.9035</v>
      </c>
      <c r="M29" s="1">
        <v>-1.1279999999999999</v>
      </c>
      <c r="N29" s="1">
        <v>-0.37</v>
      </c>
      <c r="O29" s="1">
        <v>-0.29920000000000002</v>
      </c>
      <c r="P29" s="1">
        <v>-0.22819999999999999</v>
      </c>
      <c r="Q29" s="1">
        <v>-1.1861999999999999</v>
      </c>
      <c r="R29" s="1">
        <v>-0.65190000000000003</v>
      </c>
      <c r="S29" s="1">
        <v>-0.98730000000000007</v>
      </c>
      <c r="T29" s="1">
        <v>0</v>
      </c>
    </row>
    <row r="30" spans="2:20" x14ac:dyDescent="0.25">
      <c r="B30" t="s">
        <v>10</v>
      </c>
      <c r="C30" s="1"/>
      <c r="D30" s="1"/>
      <c r="E30" s="1">
        <v>0</v>
      </c>
      <c r="F30" s="1">
        <v>0.28749999999999998</v>
      </c>
      <c r="G30" s="1">
        <v>0.87849999999999995</v>
      </c>
      <c r="H30" s="1">
        <v>2.9563000000000001</v>
      </c>
      <c r="I30" s="1">
        <v>3.0049000000000001</v>
      </c>
      <c r="J30" s="1">
        <v>2.5550000000000002</v>
      </c>
      <c r="K30" s="1">
        <v>2.1049000000000002</v>
      </c>
      <c r="L30" s="1">
        <v>0.92290000000000005</v>
      </c>
      <c r="M30" s="1">
        <v>1.69</v>
      </c>
      <c r="N30" s="1">
        <v>3.4</v>
      </c>
      <c r="O30" s="1">
        <v>1.8742000000000001</v>
      </c>
      <c r="P30" s="1">
        <v>2.6758000000000002</v>
      </c>
      <c r="Q30" s="1">
        <v>1.2124999999999999</v>
      </c>
      <c r="R30" s="1">
        <v>2.6124999999999998</v>
      </c>
      <c r="S30" s="1">
        <v>2.2124999999999999</v>
      </c>
      <c r="T30" s="1">
        <v>2.6124999999999998</v>
      </c>
    </row>
    <row r="31" spans="2:20" x14ac:dyDescent="0.25">
      <c r="B31" t="s">
        <v>11</v>
      </c>
      <c r="C31" s="1"/>
      <c r="D31" s="1"/>
      <c r="E31" s="1">
        <v>0</v>
      </c>
      <c r="F31" s="1">
        <v>0.127</v>
      </c>
      <c r="G31" s="1">
        <v>7.6999999999999999E-2</v>
      </c>
      <c r="H31" s="1">
        <v>0.127</v>
      </c>
      <c r="I31" s="1">
        <v>0.312</v>
      </c>
      <c r="J31" s="1">
        <v>0.2145</v>
      </c>
      <c r="K31" s="1">
        <v>0.11700000000000001</v>
      </c>
      <c r="L31" s="1">
        <v>6.7000000000000004E-2</v>
      </c>
      <c r="M31" s="1">
        <v>6.7000000000000004E-2</v>
      </c>
      <c r="N31" s="1">
        <v>0.11700000000000001</v>
      </c>
      <c r="O31" s="1">
        <v>0.13700000000000001</v>
      </c>
      <c r="P31" s="1">
        <v>0.157</v>
      </c>
      <c r="Q31" s="1">
        <v>6.7000000000000004E-2</v>
      </c>
      <c r="R31" s="1">
        <v>5.7000000000000002E-2</v>
      </c>
      <c r="S31" s="1">
        <v>0.21199999999999999</v>
      </c>
      <c r="T31" s="1">
        <v>0.157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0.4</v>
      </c>
      <c r="Q32" s="1">
        <v>0</v>
      </c>
      <c r="R32" s="1">
        <v>0</v>
      </c>
      <c r="S32" s="1">
        <v>0.2</v>
      </c>
      <c r="T32" s="1">
        <v>0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-1.9</v>
      </c>
      <c r="G33" s="1">
        <v>0</v>
      </c>
      <c r="H33" s="1">
        <v>0</v>
      </c>
      <c r="I33" s="1">
        <v>0.90800000000000003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1.758</v>
      </c>
      <c r="P33" s="1">
        <v>0.44400000000000001</v>
      </c>
      <c r="Q33" s="1">
        <v>0</v>
      </c>
      <c r="R33" s="1">
        <v>0</v>
      </c>
      <c r="S33" s="1">
        <v>6.0000000000000001E-3</v>
      </c>
      <c r="T33" s="1">
        <v>0</v>
      </c>
    </row>
    <row r="34" spans="2:20" x14ac:dyDescent="0.25">
      <c r="B34" t="s">
        <v>14</v>
      </c>
      <c r="C34" s="1"/>
      <c r="D34" s="1"/>
      <c r="E34" s="1">
        <v>0</v>
      </c>
      <c r="F34" s="1">
        <v>-0.1106</v>
      </c>
      <c r="G34" s="1">
        <v>0</v>
      </c>
      <c r="H34" s="1">
        <v>0</v>
      </c>
      <c r="I34" s="1">
        <v>-0.86060000000000003</v>
      </c>
      <c r="J34" s="1">
        <v>-0.48559999999999998</v>
      </c>
      <c r="K34" s="1">
        <v>-0.1108</v>
      </c>
      <c r="L34" s="1">
        <v>-0.37909999999999999</v>
      </c>
      <c r="M34" s="1">
        <v>0</v>
      </c>
      <c r="N34" s="1">
        <v>-0.69020000000000004</v>
      </c>
      <c r="O34" s="1">
        <v>-0.39510000000000001</v>
      </c>
      <c r="P34" s="1">
        <v>-0.1</v>
      </c>
      <c r="Q34" s="1">
        <v>-0.43580000000000002</v>
      </c>
      <c r="R34" s="1">
        <v>-0.50649999999999995</v>
      </c>
      <c r="S34" s="1">
        <v>-0.34489999999999998</v>
      </c>
      <c r="T34" s="1">
        <v>-0.2828</v>
      </c>
    </row>
    <row r="35" spans="2:20" x14ac:dyDescent="0.25">
      <c r="B35" t="s">
        <v>15</v>
      </c>
      <c r="C35" s="1"/>
      <c r="D35" s="1"/>
      <c r="E35" s="1">
        <v>0</v>
      </c>
      <c r="F35" s="1">
        <v>0.15920000000000001</v>
      </c>
      <c r="G35" s="1">
        <v>1.3899999999999999E-2</v>
      </c>
      <c r="H35" s="1">
        <v>-0.1091</v>
      </c>
      <c r="I35" s="1">
        <v>-3.7900000000000003E-2</v>
      </c>
      <c r="J35" s="1">
        <v>6.7799999999999999E-2</v>
      </c>
      <c r="K35" s="1">
        <v>0.17330000000000001</v>
      </c>
      <c r="L35" s="1">
        <v>0.2621</v>
      </c>
      <c r="M35" s="1">
        <v>-9.799999999999999E-2</v>
      </c>
      <c r="N35" s="1">
        <v>0.11799999999999999</v>
      </c>
      <c r="O35" s="1">
        <v>0.30449999999999999</v>
      </c>
      <c r="P35" s="1">
        <v>0.49099999999999999</v>
      </c>
      <c r="Q35" s="1">
        <v>0.2878</v>
      </c>
      <c r="R35" s="1">
        <v>0.31169999999999998</v>
      </c>
      <c r="S35" s="1">
        <v>0.27560000000000001</v>
      </c>
      <c r="T35" s="1">
        <v>4.2200000000000001E-2</v>
      </c>
    </row>
    <row r="36" spans="2:20" x14ac:dyDescent="0.25">
      <c r="B36" t="s">
        <v>16</v>
      </c>
      <c r="C36" s="1"/>
      <c r="D36" s="1"/>
      <c r="E36" s="1">
        <v>0</v>
      </c>
      <c r="F36" s="1">
        <v>21.574000000000002</v>
      </c>
      <c r="G36" s="1">
        <v>20.2651</v>
      </c>
      <c r="H36" s="1">
        <v>18.661799999999999</v>
      </c>
      <c r="I36" s="1">
        <v>14.843500000000001</v>
      </c>
      <c r="J36" s="1">
        <v>14.786799999999999</v>
      </c>
      <c r="K36" s="1">
        <v>14.7303</v>
      </c>
      <c r="L36" s="1">
        <v>14.7301</v>
      </c>
      <c r="M36" s="1">
        <v>14.7301</v>
      </c>
      <c r="N36" s="1">
        <v>14.7302</v>
      </c>
      <c r="O36" s="1">
        <v>12.3375</v>
      </c>
      <c r="P36" s="1">
        <v>9.9449000000000005</v>
      </c>
      <c r="Q36" s="1">
        <v>9.9936000000000007</v>
      </c>
      <c r="R36" s="1">
        <v>10.3421</v>
      </c>
      <c r="S36" s="1">
        <v>11.974399999999999</v>
      </c>
      <c r="T36" s="1">
        <v>14.4833</v>
      </c>
    </row>
    <row r="37" spans="2:20" x14ac:dyDescent="0.25">
      <c r="B37" t="s">
        <v>17</v>
      </c>
      <c r="C37" s="1"/>
      <c r="D37" s="1"/>
      <c r="E37" s="1">
        <v>0</v>
      </c>
      <c r="F37" s="1">
        <v>1.64</v>
      </c>
      <c r="G37" s="1">
        <v>0.93</v>
      </c>
      <c r="H37" s="1">
        <v>0</v>
      </c>
      <c r="I37" s="1">
        <v>0.99</v>
      </c>
      <c r="J37" s="1">
        <v>1.17</v>
      </c>
      <c r="K37" s="1">
        <v>1.35</v>
      </c>
      <c r="L37" s="1">
        <v>3.68</v>
      </c>
      <c r="M37" s="1">
        <v>3.7</v>
      </c>
      <c r="N37" s="1">
        <v>4.1500000000000004</v>
      </c>
      <c r="O37" s="1">
        <v>3.6749999999999998</v>
      </c>
      <c r="P37" s="1">
        <v>3.2</v>
      </c>
      <c r="Q37" s="1">
        <v>4.3834</v>
      </c>
      <c r="R37" s="1">
        <v>2.3713000000000002</v>
      </c>
      <c r="S37" s="1">
        <v>4.6759000000000004</v>
      </c>
      <c r="T37" s="1">
        <v>3.8439000000000001</v>
      </c>
    </row>
    <row r="38" spans="2:20" x14ac:dyDescent="0.25">
      <c r="B38" t="s">
        <v>18</v>
      </c>
      <c r="C38" s="1"/>
      <c r="D38" s="1"/>
      <c r="E38" s="1">
        <v>0</v>
      </c>
      <c r="F38" s="1">
        <v>3.49</v>
      </c>
      <c r="G38" s="1">
        <v>3.97</v>
      </c>
      <c r="H38" s="1">
        <v>4.1100000000000003</v>
      </c>
      <c r="I38" s="1">
        <v>4.47</v>
      </c>
      <c r="J38" s="1">
        <v>4.085</v>
      </c>
      <c r="K38" s="1">
        <v>3.7</v>
      </c>
      <c r="L38" s="1">
        <v>3.68</v>
      </c>
      <c r="M38" s="1">
        <v>3.83</v>
      </c>
      <c r="N38" s="1">
        <v>3.89</v>
      </c>
      <c r="O38" s="1">
        <v>2.8647</v>
      </c>
      <c r="P38" s="1">
        <v>1.8391999999999999</v>
      </c>
      <c r="Q38" s="1">
        <v>1.7095</v>
      </c>
      <c r="R38" s="1">
        <v>1.7465999999999999</v>
      </c>
      <c r="S38" s="1">
        <v>1.7519</v>
      </c>
      <c r="T38" s="1">
        <v>1.9652000000000001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25.361800000000002</v>
      </c>
      <c r="G39" s="1">
        <f t="shared" si="1"/>
        <v>25.834499999999998</v>
      </c>
      <c r="H39" s="1">
        <f t="shared" si="1"/>
        <v>24.5518</v>
      </c>
      <c r="I39" s="1">
        <f t="shared" si="1"/>
        <v>14.670700000000004</v>
      </c>
      <c r="J39" s="1">
        <f t="shared" si="1"/>
        <v>17.310500000000001</v>
      </c>
      <c r="K39" s="1">
        <f t="shared" si="1"/>
        <v>20.858000000000001</v>
      </c>
      <c r="L39" s="1">
        <f t="shared" si="1"/>
        <v>21.0595</v>
      </c>
      <c r="M39" s="1">
        <f t="shared" si="1"/>
        <v>22.7911</v>
      </c>
      <c r="N39" s="1">
        <f t="shared" si="1"/>
        <v>25.344999999999999</v>
      </c>
      <c r="O39" s="1">
        <f t="shared" si="1"/>
        <v>22.256599999999999</v>
      </c>
      <c r="P39" s="1">
        <f t="shared" si="1"/>
        <v>18.823700000000002</v>
      </c>
      <c r="Q39" s="1">
        <f t="shared" si="1"/>
        <v>16.0318</v>
      </c>
      <c r="R39" s="1">
        <f t="shared" si="1"/>
        <v>16.282799999999998</v>
      </c>
      <c r="S39" s="1">
        <f t="shared" si="1"/>
        <v>19.976099999999999</v>
      </c>
      <c r="T39" s="1">
        <f t="shared" si="1"/>
        <v>22.821300000000001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33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0.30980000000000002</v>
      </c>
      <c r="F49" s="1">
        <v>0.75080000000000002</v>
      </c>
      <c r="G49" s="1">
        <v>0.3</v>
      </c>
      <c r="H49" s="1">
        <v>1.1941999999999999</v>
      </c>
      <c r="I49" s="1">
        <v>8.9591999999999992</v>
      </c>
      <c r="J49" s="1">
        <v>5.0830000000000002</v>
      </c>
      <c r="K49" s="1">
        <v>1.2067000000000001</v>
      </c>
      <c r="L49" s="1">
        <v>1.9035</v>
      </c>
      <c r="M49" s="1">
        <v>1.1279999999999999</v>
      </c>
      <c r="N49" s="1">
        <v>0.37</v>
      </c>
      <c r="O49" s="1">
        <v>0.29920000000000002</v>
      </c>
      <c r="P49" s="1">
        <v>0.22819999999999999</v>
      </c>
      <c r="Q49" s="1">
        <v>1.1861999999999999</v>
      </c>
      <c r="R49" s="1">
        <v>0.65190000000000003</v>
      </c>
      <c r="S49" s="1">
        <v>0.98730000000000007</v>
      </c>
      <c r="T49" s="1">
        <v>0.20169999999999999</v>
      </c>
    </row>
    <row r="50" spans="2:20" x14ac:dyDescent="0.25">
      <c r="B50" t="s">
        <v>10</v>
      </c>
      <c r="C50" s="1"/>
      <c r="D50" s="1"/>
      <c r="E50" s="1">
        <v>0.69700000000000006</v>
      </c>
      <c r="F50" s="1">
        <v>0.3664</v>
      </c>
      <c r="G50" s="1">
        <v>5.8000000000000003E-2</v>
      </c>
      <c r="H50" s="1">
        <v>1.7689999999999999</v>
      </c>
      <c r="I50" s="1">
        <v>1.9792000000000001</v>
      </c>
      <c r="J50" s="1">
        <v>1.921</v>
      </c>
      <c r="K50" s="1">
        <v>0.53700000000000003</v>
      </c>
      <c r="L50" s="1">
        <v>2.3544</v>
      </c>
      <c r="M50" s="1">
        <v>0.80710000000000004</v>
      </c>
      <c r="N50" s="1">
        <v>3.5354999999999999</v>
      </c>
      <c r="O50" s="1">
        <v>1.2549999999999999</v>
      </c>
      <c r="P50" s="1">
        <v>0.8276</v>
      </c>
      <c r="Q50" s="1">
        <v>1.962</v>
      </c>
      <c r="R50" s="1">
        <v>0.112</v>
      </c>
      <c r="S50" s="1">
        <v>1.774</v>
      </c>
      <c r="T50" s="1">
        <v>1.1738999999999999</v>
      </c>
    </row>
    <row r="51" spans="2:20" x14ac:dyDescent="0.25">
      <c r="B51" t="s">
        <v>11</v>
      </c>
      <c r="C51" s="1"/>
      <c r="D51" s="1"/>
      <c r="E51" s="1">
        <v>5.1799999999999999E-2</v>
      </c>
      <c r="F51" s="1">
        <v>0.17610000000000001</v>
      </c>
      <c r="G51" s="1">
        <v>4.1599999999999998E-2</v>
      </c>
      <c r="H51" s="1">
        <v>0.222</v>
      </c>
      <c r="I51" s="1">
        <v>0.36159999999999998</v>
      </c>
      <c r="J51" s="1">
        <v>0.13789999999999999</v>
      </c>
      <c r="K51" s="1">
        <v>0.44109999999999999</v>
      </c>
      <c r="L51" s="1">
        <v>0.71340000000000003</v>
      </c>
      <c r="M51" s="1">
        <v>0.88049999999999995</v>
      </c>
      <c r="N51" s="1">
        <v>0.57999999999999996</v>
      </c>
      <c r="O51" s="1">
        <v>0.73860000000000003</v>
      </c>
      <c r="P51" s="1">
        <v>0.51890000000000003</v>
      </c>
      <c r="Q51" s="1">
        <v>0.71930000000000005</v>
      </c>
      <c r="R51" s="1">
        <v>0.87680000000000002</v>
      </c>
      <c r="S51" s="1">
        <v>0.52039999999999997</v>
      </c>
      <c r="T51" s="1">
        <v>1.0607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1.9</v>
      </c>
      <c r="G53" s="1">
        <v>3.38</v>
      </c>
      <c r="H53" s="1">
        <v>0</v>
      </c>
      <c r="I53" s="1">
        <v>0</v>
      </c>
      <c r="J53" s="1">
        <v>1.4450000000000001</v>
      </c>
      <c r="K53" s="1">
        <v>0</v>
      </c>
      <c r="L53" s="1">
        <v>0</v>
      </c>
      <c r="M53" s="1">
        <v>0</v>
      </c>
      <c r="N53" s="1">
        <v>0</v>
      </c>
      <c r="O53" s="1">
        <v>1.873</v>
      </c>
      <c r="P53" s="1">
        <v>0</v>
      </c>
      <c r="Q53" s="1">
        <v>1.014</v>
      </c>
      <c r="R53" s="1">
        <v>0</v>
      </c>
      <c r="S53" s="1">
        <v>0</v>
      </c>
      <c r="T53" s="1">
        <v>3.274</v>
      </c>
    </row>
    <row r="54" spans="2:20" x14ac:dyDescent="0.25">
      <c r="B54" t="s">
        <v>14</v>
      </c>
      <c r="C54" s="1"/>
      <c r="D54" s="1"/>
      <c r="E54" s="1">
        <v>8.8999999999999999E-3</v>
      </c>
      <c r="F54" s="1">
        <v>0.1106</v>
      </c>
      <c r="G54" s="1">
        <v>0.45240000000000002</v>
      </c>
      <c r="H54" s="1">
        <v>0.7732</v>
      </c>
      <c r="I54" s="1">
        <v>0.86060000000000003</v>
      </c>
      <c r="J54" s="1">
        <v>0.48559999999999998</v>
      </c>
      <c r="K54" s="1">
        <v>0.1108</v>
      </c>
      <c r="L54" s="1">
        <v>0.37909999999999999</v>
      </c>
      <c r="M54" s="1">
        <v>0.63019999999999998</v>
      </c>
      <c r="N54" s="1">
        <v>0.69020000000000004</v>
      </c>
      <c r="O54" s="1">
        <v>0.39510000000000001</v>
      </c>
      <c r="P54" s="1">
        <v>0.1</v>
      </c>
      <c r="Q54" s="1">
        <v>0.43580000000000002</v>
      </c>
      <c r="R54" s="1">
        <v>0.50649999999999995</v>
      </c>
      <c r="S54" s="1">
        <v>0.34489999999999998</v>
      </c>
      <c r="T54" s="1">
        <v>0.2828</v>
      </c>
    </row>
    <row r="55" spans="2:20" x14ac:dyDescent="0.25">
      <c r="B55" t="s">
        <v>15</v>
      </c>
      <c r="C55" s="1"/>
      <c r="D55" s="1"/>
      <c r="E55" s="1">
        <v>0</v>
      </c>
      <c r="F55" s="1">
        <v>1.6916</v>
      </c>
      <c r="G55" s="1">
        <v>2.3099999999999999E-2</v>
      </c>
      <c r="H55" s="1">
        <v>0.15210000000000001</v>
      </c>
      <c r="I55" s="1">
        <v>8.2900000000000001E-2</v>
      </c>
      <c r="J55" s="1">
        <v>0.37619999999999998</v>
      </c>
      <c r="K55" s="1">
        <v>1.3317000000000001</v>
      </c>
      <c r="L55" s="1">
        <v>1.6688000000000001</v>
      </c>
      <c r="M55" s="1">
        <v>0.26700000000000002</v>
      </c>
      <c r="N55" s="1">
        <v>1.7625</v>
      </c>
      <c r="O55" s="1">
        <v>0.3715</v>
      </c>
      <c r="P55" s="1">
        <v>1.2523</v>
      </c>
      <c r="Q55" s="1">
        <v>0.26869999999999999</v>
      </c>
      <c r="R55" s="1">
        <v>0.85680000000000001</v>
      </c>
      <c r="S55" s="1">
        <v>0.68859999999999999</v>
      </c>
      <c r="T55" s="1">
        <v>8.2799999999999999E-2</v>
      </c>
    </row>
    <row r="56" spans="2:20" x14ac:dyDescent="0.25">
      <c r="B56" t="s">
        <v>16</v>
      </c>
      <c r="C56" s="1"/>
      <c r="D56" s="1"/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0.30399999999999999</v>
      </c>
      <c r="M56" s="1">
        <v>0</v>
      </c>
      <c r="N56" s="1">
        <v>0</v>
      </c>
      <c r="O56" s="1">
        <v>0</v>
      </c>
      <c r="P56" s="1">
        <v>0</v>
      </c>
      <c r="Q56" s="1">
        <v>1.6E-2</v>
      </c>
      <c r="R56" s="1">
        <v>5.0599999999999999E-2</v>
      </c>
      <c r="S56" s="1">
        <v>3.3500000000000002E-2</v>
      </c>
      <c r="T56" s="1">
        <v>0.1615</v>
      </c>
    </row>
    <row r="57" spans="2:20" x14ac:dyDescent="0.25">
      <c r="B57" t="s">
        <v>17</v>
      </c>
      <c r="C57" s="1"/>
      <c r="D57" s="1"/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2:20" x14ac:dyDescent="0.25">
      <c r="B58" t="s">
        <v>18</v>
      </c>
      <c r="C58" s="1"/>
      <c r="D58" s="1"/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1.0675000000000001</v>
      </c>
      <c r="F59" s="1">
        <f t="shared" si="2"/>
        <v>4.9954999999999998</v>
      </c>
      <c r="G59" s="1">
        <f t="shared" si="2"/>
        <v>4.2551000000000005</v>
      </c>
      <c r="H59" s="1">
        <f t="shared" si="2"/>
        <v>4.1105</v>
      </c>
      <c r="I59" s="1">
        <f t="shared" si="2"/>
        <v>12.243499999999999</v>
      </c>
      <c r="J59" s="1">
        <f t="shared" si="2"/>
        <v>9.4487000000000005</v>
      </c>
      <c r="K59" s="1">
        <f t="shared" si="2"/>
        <v>3.6273</v>
      </c>
      <c r="L59" s="1">
        <f t="shared" si="2"/>
        <v>7.3232000000000008</v>
      </c>
      <c r="M59" s="1">
        <f t="shared" si="2"/>
        <v>3.7127999999999997</v>
      </c>
      <c r="N59" s="1">
        <f t="shared" si="2"/>
        <v>6.9382000000000001</v>
      </c>
      <c r="O59" s="1">
        <f t="shared" si="2"/>
        <v>4.9324000000000003</v>
      </c>
      <c r="P59" s="1">
        <f t="shared" si="2"/>
        <v>2.927</v>
      </c>
      <c r="Q59" s="1">
        <f t="shared" si="2"/>
        <v>5.6020000000000003</v>
      </c>
      <c r="R59" s="1">
        <f t="shared" si="2"/>
        <v>3.0545999999999998</v>
      </c>
      <c r="S59" s="1">
        <f t="shared" si="2"/>
        <v>4.3487</v>
      </c>
      <c r="T59" s="1">
        <f t="shared" si="2"/>
        <v>6.2374000000000001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33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0.65390000000000004</v>
      </c>
      <c r="G70" s="1">
        <v>0.9365</v>
      </c>
      <c r="H70" s="1">
        <v>4.7252999999999998</v>
      </c>
      <c r="I70" s="1">
        <v>4.9840999999999998</v>
      </c>
      <c r="J70" s="1">
        <v>4.476</v>
      </c>
      <c r="K70" s="1">
        <v>2.6419000000000001</v>
      </c>
      <c r="L70" s="1">
        <v>3.2772999999999999</v>
      </c>
      <c r="M70" s="1">
        <v>2.4971000000000001</v>
      </c>
      <c r="N70" s="1">
        <v>6.9355000000000002</v>
      </c>
      <c r="O70" s="1">
        <v>3.1292</v>
      </c>
      <c r="P70" s="1">
        <v>3.5034000000000001</v>
      </c>
      <c r="Q70" s="1">
        <v>3.1745000000000001</v>
      </c>
      <c r="R70" s="1">
        <v>2.7244999999999999</v>
      </c>
      <c r="S70" s="1">
        <v>3.9864999999999999</v>
      </c>
      <c r="T70" s="1">
        <v>3.7864</v>
      </c>
    </row>
    <row r="71" spans="2:20" x14ac:dyDescent="0.25">
      <c r="B71" t="s">
        <v>11</v>
      </c>
      <c r="C71" s="1"/>
      <c r="D71" s="1"/>
      <c r="E71" s="1">
        <v>0</v>
      </c>
      <c r="F71" s="1">
        <v>0.30309999999999998</v>
      </c>
      <c r="G71" s="1">
        <v>0.1186</v>
      </c>
      <c r="H71" s="1">
        <v>0.34899999999999998</v>
      </c>
      <c r="I71" s="1">
        <v>0.67359999999999998</v>
      </c>
      <c r="J71" s="1">
        <v>0.35239999999999999</v>
      </c>
      <c r="K71" s="1">
        <v>0.55810000000000004</v>
      </c>
      <c r="L71" s="1">
        <v>0.78039999999999998</v>
      </c>
      <c r="M71" s="1">
        <v>0.94750000000000001</v>
      </c>
      <c r="N71" s="1">
        <v>0.69710000000000005</v>
      </c>
      <c r="O71" s="1">
        <v>0.87560000000000004</v>
      </c>
      <c r="P71" s="1">
        <v>0.67589999999999995</v>
      </c>
      <c r="Q71" s="1">
        <v>0.78620000000000001</v>
      </c>
      <c r="R71" s="1">
        <v>0.93389999999999995</v>
      </c>
      <c r="S71" s="1">
        <v>0.73239999999999994</v>
      </c>
      <c r="T71" s="1">
        <v>1.2177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0.4</v>
      </c>
      <c r="Q72" s="1">
        <v>0</v>
      </c>
      <c r="R72" s="1">
        <v>0</v>
      </c>
      <c r="S72" s="1">
        <v>0.2</v>
      </c>
      <c r="T72" s="1">
        <v>0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3.38</v>
      </c>
      <c r="H73" s="1">
        <v>0</v>
      </c>
      <c r="I73" s="1">
        <v>0.90800000000000003</v>
      </c>
      <c r="J73" s="1">
        <v>1.4450000000000001</v>
      </c>
      <c r="K73" s="1">
        <v>0</v>
      </c>
      <c r="L73" s="1">
        <v>0</v>
      </c>
      <c r="M73" s="1">
        <v>0</v>
      </c>
      <c r="N73" s="1">
        <v>0</v>
      </c>
      <c r="O73" s="1">
        <v>3.6309999999999998</v>
      </c>
      <c r="P73" s="1">
        <v>0.44400000000000001</v>
      </c>
      <c r="Q73" s="1">
        <v>1.014</v>
      </c>
      <c r="R73" s="1">
        <v>0</v>
      </c>
      <c r="S73" s="1">
        <v>6.0000000000000001E-3</v>
      </c>
      <c r="T73" s="1">
        <v>3.274</v>
      </c>
    </row>
    <row r="74" spans="2:20" x14ac:dyDescent="0.25">
      <c r="B74" t="s">
        <v>14</v>
      </c>
      <c r="C74" s="1"/>
      <c r="D74" s="1"/>
      <c r="E74" s="1">
        <v>0</v>
      </c>
      <c r="F74" s="1">
        <v>0</v>
      </c>
      <c r="G74" s="1">
        <v>0.45240000000000002</v>
      </c>
      <c r="H74" s="1">
        <v>0.7732</v>
      </c>
      <c r="I74" s="1">
        <v>0</v>
      </c>
      <c r="J74" s="1">
        <v>0</v>
      </c>
      <c r="K74" s="1">
        <v>0</v>
      </c>
      <c r="L74" s="1">
        <v>0</v>
      </c>
      <c r="M74" s="1">
        <v>0.63019999999999998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2:20" x14ac:dyDescent="0.25">
      <c r="B75" t="s">
        <v>15</v>
      </c>
      <c r="C75" s="1"/>
      <c r="D75" s="1"/>
      <c r="E75" s="1">
        <v>0</v>
      </c>
      <c r="F75" s="1">
        <v>1.8508</v>
      </c>
      <c r="G75" s="1">
        <v>3.6999999999999998E-2</v>
      </c>
      <c r="H75" s="1">
        <v>4.2999999999999997E-2</v>
      </c>
      <c r="I75" s="1">
        <v>4.4999999999999998E-2</v>
      </c>
      <c r="J75" s="1">
        <v>0.44400000000000001</v>
      </c>
      <c r="K75" s="1">
        <v>1.5049999999999999</v>
      </c>
      <c r="L75" s="1">
        <v>1.9309000000000001</v>
      </c>
      <c r="M75" s="1">
        <v>0.16900000000000001</v>
      </c>
      <c r="N75" s="1">
        <v>1.8805000000000001</v>
      </c>
      <c r="O75" s="1">
        <v>0.67599999999999993</v>
      </c>
      <c r="P75" s="1">
        <v>1.7433000000000001</v>
      </c>
      <c r="Q75" s="1">
        <v>0.55649999999999999</v>
      </c>
      <c r="R75" s="1">
        <v>1.1685000000000001</v>
      </c>
      <c r="S75" s="1">
        <v>0.96430000000000005</v>
      </c>
      <c r="T75" s="1">
        <v>0.125</v>
      </c>
    </row>
    <row r="76" spans="2:20" x14ac:dyDescent="0.25">
      <c r="B76" t="s">
        <v>16</v>
      </c>
      <c r="C76" s="1"/>
      <c r="D76" s="1"/>
      <c r="E76" s="1">
        <v>0</v>
      </c>
      <c r="F76" s="1">
        <v>21.574000000000002</v>
      </c>
      <c r="G76" s="1">
        <v>20.2651</v>
      </c>
      <c r="H76" s="1">
        <v>18.661799999999999</v>
      </c>
      <c r="I76" s="1">
        <v>14.843500000000001</v>
      </c>
      <c r="J76" s="1">
        <v>14.786799999999999</v>
      </c>
      <c r="K76" s="1">
        <v>14.7303</v>
      </c>
      <c r="L76" s="1">
        <v>15.0341</v>
      </c>
      <c r="M76" s="1">
        <v>14.7301</v>
      </c>
      <c r="N76" s="1">
        <v>14.7302</v>
      </c>
      <c r="O76" s="1">
        <v>12.3375</v>
      </c>
      <c r="P76" s="1">
        <v>9.9449000000000005</v>
      </c>
      <c r="Q76" s="1">
        <v>10.009600000000001</v>
      </c>
      <c r="R76" s="1">
        <v>10.3927</v>
      </c>
      <c r="S76" s="1">
        <v>12.007899999999999</v>
      </c>
      <c r="T76" s="1">
        <v>14.6448</v>
      </c>
    </row>
    <row r="77" spans="2:20" x14ac:dyDescent="0.25">
      <c r="B77" t="s">
        <v>17</v>
      </c>
      <c r="C77" s="1"/>
      <c r="D77" s="1"/>
      <c r="E77" s="1">
        <v>0</v>
      </c>
      <c r="F77" s="1">
        <v>1.64</v>
      </c>
      <c r="G77" s="1">
        <v>0.93</v>
      </c>
      <c r="H77" s="1">
        <v>0</v>
      </c>
      <c r="I77" s="1">
        <v>0.99</v>
      </c>
      <c r="J77" s="1">
        <v>1.17</v>
      </c>
      <c r="K77" s="1">
        <v>1.35</v>
      </c>
      <c r="L77" s="1">
        <v>3.68</v>
      </c>
      <c r="M77" s="1">
        <v>3.7</v>
      </c>
      <c r="N77" s="1">
        <v>4.1500000000000004</v>
      </c>
      <c r="O77" s="1">
        <v>3.6749999999999998</v>
      </c>
      <c r="P77" s="1">
        <v>3.2</v>
      </c>
      <c r="Q77" s="1">
        <v>4.3834</v>
      </c>
      <c r="R77" s="1">
        <v>2.3713000000000002</v>
      </c>
      <c r="S77" s="1">
        <v>4.6759000000000004</v>
      </c>
      <c r="T77" s="1">
        <v>3.8439000000000001</v>
      </c>
    </row>
    <row r="78" spans="2:20" x14ac:dyDescent="0.25">
      <c r="B78" t="s">
        <v>18</v>
      </c>
      <c r="C78" s="1"/>
      <c r="D78" s="1"/>
      <c r="E78" s="1">
        <v>0</v>
      </c>
      <c r="F78" s="1">
        <v>3.49</v>
      </c>
      <c r="G78" s="1">
        <v>3.97</v>
      </c>
      <c r="H78" s="1">
        <v>4.1100000000000003</v>
      </c>
      <c r="I78" s="1">
        <v>4.47</v>
      </c>
      <c r="J78" s="1">
        <v>4.085</v>
      </c>
      <c r="K78" s="1">
        <v>3.7</v>
      </c>
      <c r="L78" s="1">
        <v>3.68</v>
      </c>
      <c r="M78" s="1">
        <v>3.83</v>
      </c>
      <c r="N78" s="1">
        <v>3.89</v>
      </c>
      <c r="O78" s="1">
        <v>2.8647</v>
      </c>
      <c r="P78" s="1">
        <v>1.8391999999999999</v>
      </c>
      <c r="Q78" s="1">
        <v>1.7095</v>
      </c>
      <c r="R78" s="1">
        <v>1.7465999999999999</v>
      </c>
      <c r="S78" s="1">
        <v>1.7519</v>
      </c>
      <c r="T78" s="1">
        <v>1.9652000000000001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29.511800000000001</v>
      </c>
      <c r="G79" s="1">
        <f t="shared" si="3"/>
        <v>30.089599999999997</v>
      </c>
      <c r="H79" s="1">
        <f t="shared" si="3"/>
        <v>28.662299999999998</v>
      </c>
      <c r="I79" s="1">
        <f t="shared" si="3"/>
        <v>26.914199999999997</v>
      </c>
      <c r="J79" s="1">
        <f t="shared" si="3"/>
        <v>26.7592</v>
      </c>
      <c r="K79" s="1">
        <f t="shared" si="3"/>
        <v>24.485299999999999</v>
      </c>
      <c r="L79" s="1">
        <f t="shared" si="3"/>
        <v>28.3827</v>
      </c>
      <c r="M79" s="1">
        <f t="shared" si="3"/>
        <v>26.503900000000002</v>
      </c>
      <c r="N79" s="1">
        <f t="shared" si="3"/>
        <v>32.283299999999997</v>
      </c>
      <c r="O79" s="1">
        <f t="shared" si="3"/>
        <v>27.189</v>
      </c>
      <c r="P79" s="1">
        <f t="shared" si="3"/>
        <v>21.750700000000002</v>
      </c>
      <c r="Q79" s="1">
        <f t="shared" si="3"/>
        <v>21.633699999999997</v>
      </c>
      <c r="R79" s="1">
        <f t="shared" si="3"/>
        <v>19.337500000000002</v>
      </c>
      <c r="S79" s="1">
        <f t="shared" si="3"/>
        <v>24.3249</v>
      </c>
      <c r="T79" s="1">
        <f t="shared" si="3"/>
        <v>28.856999999999999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T19"/>
  <sheetViews>
    <sheetView workbookViewId="0"/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1" spans="2:20" x14ac:dyDescent="0.25">
      <c r="B1" s="4" t="s">
        <v>0</v>
      </c>
    </row>
    <row r="2" spans="2:20" x14ac:dyDescent="0.25">
      <c r="B2" s="3" t="s">
        <v>1</v>
      </c>
    </row>
    <row r="4" spans="2:20" x14ac:dyDescent="0.25">
      <c r="B4" s="2" t="s">
        <v>2</v>
      </c>
      <c r="C4" t="s">
        <v>3</v>
      </c>
    </row>
    <row r="5" spans="2:20" x14ac:dyDescent="0.25">
      <c r="B5" s="2" t="s">
        <v>4</v>
      </c>
      <c r="C5" t="s">
        <v>34</v>
      </c>
    </row>
    <row r="7" spans="2:20" x14ac:dyDescent="0.25">
      <c r="B7" t="s">
        <v>6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/>
      <c r="F9" s="1">
        <v>189.12763476999979</v>
      </c>
      <c r="G9" s="5">
        <f>(F9+H9)/2</f>
        <v>170.96493980099979</v>
      </c>
      <c r="H9" s="1">
        <v>152.80224483199979</v>
      </c>
      <c r="I9" s="5">
        <f>(H9+J9)/2</f>
        <v>124.26557448299988</v>
      </c>
      <c r="J9" s="1">
        <v>95.728904133999961</v>
      </c>
      <c r="K9" s="5">
        <f>(J9+L9)/2</f>
        <v>83.49648584699996</v>
      </c>
      <c r="L9" s="1">
        <v>71.264067559999958</v>
      </c>
      <c r="M9" s="5">
        <f>(L9+N9)/2</f>
        <v>63.740674691999963</v>
      </c>
      <c r="N9" s="1">
        <v>56.217281823999969</v>
      </c>
      <c r="O9" s="5">
        <f>(N9+P9)/2</f>
        <v>44.682917529999955</v>
      </c>
      <c r="P9" s="1">
        <v>33.148553235999941</v>
      </c>
      <c r="Q9" s="5">
        <f>(P9+R9)/2</f>
        <v>21.175845451999994</v>
      </c>
      <c r="R9" s="1">
        <v>9.2031376680000463</v>
      </c>
      <c r="S9" s="5">
        <f>(R9+T9)/2</f>
        <v>9.1593603890000281</v>
      </c>
      <c r="T9" s="1">
        <v>9.11558311000001</v>
      </c>
    </row>
    <row r="10" spans="2:20" x14ac:dyDescent="0.25">
      <c r="B10" t="s">
        <v>10</v>
      </c>
      <c r="C10" s="1"/>
      <c r="D10" s="1"/>
      <c r="E10" s="1"/>
      <c r="F10" s="1">
        <v>453.43838535400027</v>
      </c>
      <c r="G10" s="5">
        <f>(F10+H10)/2</f>
        <v>447.07634651099994</v>
      </c>
      <c r="H10" s="1">
        <v>440.71430766799961</v>
      </c>
      <c r="I10" s="5">
        <f>(H10+J10)/2</f>
        <v>479.7950953259994</v>
      </c>
      <c r="J10" s="1">
        <v>518.87588298399919</v>
      </c>
      <c r="K10" s="5">
        <f>(J10+L10)/2</f>
        <v>544.15490392100014</v>
      </c>
      <c r="L10" s="1">
        <v>569.43392485800098</v>
      </c>
      <c r="M10" s="5">
        <f>(L10+N10)/2</f>
        <v>580.97409160300049</v>
      </c>
      <c r="N10" s="1">
        <v>592.514258348</v>
      </c>
      <c r="O10" s="5">
        <f>(N10+P10)/2</f>
        <v>585.19556333200057</v>
      </c>
      <c r="P10" s="1">
        <v>577.87686831600115</v>
      </c>
      <c r="Q10" s="5">
        <f>(P10+R10)/2</f>
        <v>580.50310170500074</v>
      </c>
      <c r="R10" s="1">
        <v>583.12933509400023</v>
      </c>
      <c r="S10" s="5">
        <f>(R10+T10)/2</f>
        <v>575.00117665900041</v>
      </c>
      <c r="T10" s="1">
        <v>566.87301822400059</v>
      </c>
    </row>
    <row r="11" spans="2:20" x14ac:dyDescent="0.25">
      <c r="B11" t="s">
        <v>11</v>
      </c>
      <c r="C11" s="1"/>
      <c r="D11" s="1"/>
      <c r="E11" s="1"/>
      <c r="F11" s="1">
        <v>338.8853669519998</v>
      </c>
      <c r="G11" s="5">
        <f>(F11+H11)/2</f>
        <v>338.43690993799976</v>
      </c>
      <c r="H11" s="1">
        <v>337.98845292399977</v>
      </c>
      <c r="I11" s="5">
        <f>(H11+J11)/2</f>
        <v>336.85760401599975</v>
      </c>
      <c r="J11" s="1">
        <v>335.72675510799979</v>
      </c>
      <c r="K11" s="5">
        <f>(J11+L11)/2</f>
        <v>335.78132332600001</v>
      </c>
      <c r="L11" s="1">
        <v>335.83589154400022</v>
      </c>
      <c r="M11" s="5">
        <f>(L11+N11)/2</f>
        <v>335.67682414800004</v>
      </c>
      <c r="N11" s="1">
        <v>335.5177567519998</v>
      </c>
      <c r="O11" s="5">
        <f>(N11+P11)/2</f>
        <v>335.10721649899995</v>
      </c>
      <c r="P11" s="1">
        <v>334.6966762460001</v>
      </c>
      <c r="Q11" s="5">
        <f>(P11+R11)/2</f>
        <v>334.75107185500013</v>
      </c>
      <c r="R11" s="1">
        <v>334.80546746400017</v>
      </c>
      <c r="S11" s="5">
        <f>(R11+T11)/2</f>
        <v>333.96034145900029</v>
      </c>
      <c r="T11" s="1">
        <v>333.11521545400041</v>
      </c>
    </row>
    <row r="12" spans="2:20" x14ac:dyDescent="0.25">
      <c r="B1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0.61598393000000007</v>
      </c>
      <c r="Q12" s="5">
        <f>(P12+R12)/2</f>
        <v>1.6847734700000001</v>
      </c>
      <c r="R12" s="1">
        <v>2.7535630100000001</v>
      </c>
      <c r="S12" s="5">
        <f>(R12+T12)/2</f>
        <v>4.5195042310000009</v>
      </c>
      <c r="T12" s="1">
        <v>6.2854454520000012</v>
      </c>
    </row>
    <row r="13" spans="2:20" x14ac:dyDescent="0.25">
      <c r="B13" t="s">
        <v>13</v>
      </c>
      <c r="C13" s="1"/>
      <c r="D13" s="1"/>
      <c r="E13" s="1"/>
      <c r="F13" s="1">
        <v>647.39206185400008</v>
      </c>
      <c r="G13" s="5">
        <f>(F13+H13)/2</f>
        <v>649.36113169700002</v>
      </c>
      <c r="H13" s="1">
        <v>651.33020153999996</v>
      </c>
      <c r="I13" s="5">
        <f>(H13+J13)/2</f>
        <v>633.19412833199965</v>
      </c>
      <c r="J13" s="1">
        <v>615.05805512399934</v>
      </c>
      <c r="K13" s="5">
        <f>(J13+L13)/2</f>
        <v>620.80633028699924</v>
      </c>
      <c r="L13" s="1">
        <v>626.55460544999914</v>
      </c>
      <c r="M13" s="5">
        <f>(L13+N13)/2</f>
        <v>632.51912536600003</v>
      </c>
      <c r="N13" s="1">
        <v>638.48364528200102</v>
      </c>
      <c r="O13" s="5">
        <f>(N13+P13)/2</f>
        <v>647.19692630400118</v>
      </c>
      <c r="P13" s="1">
        <v>655.91020732600145</v>
      </c>
      <c r="Q13" s="5">
        <f>(P13+R13)/2</f>
        <v>667.01841444000149</v>
      </c>
      <c r="R13" s="1">
        <v>678.12662155400153</v>
      </c>
      <c r="S13" s="5">
        <f>(R13+T13)/2</f>
        <v>696.69098956700157</v>
      </c>
      <c r="T13" s="1">
        <v>715.2553575800016</v>
      </c>
    </row>
    <row r="14" spans="2:20" x14ac:dyDescent="0.25">
      <c r="B14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t="s">
        <v>15</v>
      </c>
      <c r="C15" s="1"/>
      <c r="D15" s="1"/>
      <c r="E15" s="1"/>
      <c r="F15" s="1">
        <v>197.5502910699997</v>
      </c>
      <c r="G15" s="5">
        <f>(F15+H15)/2</f>
        <v>196.79689160399946</v>
      </c>
      <c r="H15" s="1">
        <v>196.04349213799921</v>
      </c>
      <c r="I15" s="5">
        <f>(H15+J15)/2</f>
        <v>196.96967975899915</v>
      </c>
      <c r="J15" s="1">
        <v>197.89586737999909</v>
      </c>
      <c r="K15" s="5">
        <f>(J15+L15)/2</f>
        <v>184.32434729999974</v>
      </c>
      <c r="L15" s="1">
        <v>170.7528272200004</v>
      </c>
      <c r="M15" s="5">
        <f>(L15+N15)/2</f>
        <v>173.47605045900184</v>
      </c>
      <c r="N15" s="1">
        <v>176.19927369800331</v>
      </c>
      <c r="O15" s="5">
        <f>(N15+P15)/2</f>
        <v>191.28385471800081</v>
      </c>
      <c r="P15" s="1">
        <v>206.36843573799831</v>
      </c>
      <c r="Q15" s="5">
        <f>(P15+R15)/2</f>
        <v>210.51359104499846</v>
      </c>
      <c r="R15" s="1">
        <v>214.65874635199859</v>
      </c>
      <c r="S15" s="5">
        <f>(R15+T15)/2</f>
        <v>217.30047731599785</v>
      </c>
      <c r="T15" s="1">
        <v>219.94220827999709</v>
      </c>
    </row>
    <row r="16" spans="2:20" x14ac:dyDescent="0.25">
      <c r="B16" t="s">
        <v>16</v>
      </c>
      <c r="C16" s="1"/>
      <c r="D16" s="1"/>
      <c r="E16" s="1"/>
      <c r="F16" s="1">
        <v>444.29083748800002</v>
      </c>
      <c r="G16" s="5">
        <f>(F16+H16)/2</f>
        <v>485.55194604400003</v>
      </c>
      <c r="H16" s="1">
        <v>526.81305459999999</v>
      </c>
      <c r="I16" s="5">
        <f>(H16+J16)/2</f>
        <v>574.45706627699997</v>
      </c>
      <c r="J16" s="1">
        <v>622.10107795399983</v>
      </c>
      <c r="K16" s="5">
        <f>(J16+L16)/2</f>
        <v>659.20373201799976</v>
      </c>
      <c r="L16" s="1">
        <v>696.30638608199979</v>
      </c>
      <c r="M16" s="5">
        <f>(L16+N16)/2</f>
        <v>732.84996442099987</v>
      </c>
      <c r="N16" s="1">
        <v>769.39354275999983</v>
      </c>
      <c r="O16" s="5">
        <f>(N16+P16)/2</f>
        <v>806.40212808599972</v>
      </c>
      <c r="P16" s="1">
        <v>843.41071341199972</v>
      </c>
      <c r="Q16" s="5">
        <f>(P16+R16)/2</f>
        <v>882.49654506299976</v>
      </c>
      <c r="R16" s="1">
        <v>921.58237671399968</v>
      </c>
      <c r="S16" s="5">
        <f>(R16+T16)/2</f>
        <v>953.08070491399963</v>
      </c>
      <c r="T16" s="1">
        <v>984.57903311399969</v>
      </c>
    </row>
    <row r="17" spans="2:20" x14ac:dyDescent="0.25">
      <c r="B17" t="s">
        <v>17</v>
      </c>
      <c r="C17" s="1"/>
      <c r="D17" s="1"/>
      <c r="E17" s="1"/>
      <c r="F17" s="1">
        <v>159.45362178600001</v>
      </c>
      <c r="G17" s="5">
        <f>(F17+H17)/2</f>
        <v>188.17797577499994</v>
      </c>
      <c r="H17" s="1">
        <v>216.90232976399989</v>
      </c>
      <c r="I17" s="5">
        <f>(H17+J17)/2</f>
        <v>234.65290218999996</v>
      </c>
      <c r="J17" s="1">
        <v>252.40347461600001</v>
      </c>
      <c r="K17" s="5">
        <f>(J17+L17)/2</f>
        <v>288.58889545200003</v>
      </c>
      <c r="L17" s="1">
        <v>324.77431628800008</v>
      </c>
      <c r="M17" s="5">
        <f>(L17+N17)/2</f>
        <v>374.16963957299998</v>
      </c>
      <c r="N17" s="1">
        <v>423.56496285799989</v>
      </c>
      <c r="O17" s="5">
        <f>(N17+P17)/2</f>
        <v>461.5096566159998</v>
      </c>
      <c r="P17" s="1">
        <v>499.45435037399977</v>
      </c>
      <c r="Q17" s="5">
        <f>(P17+R17)/2</f>
        <v>539.5772795309997</v>
      </c>
      <c r="R17" s="1">
        <v>579.70020868799975</v>
      </c>
      <c r="S17" s="5">
        <f>(R17+T17)/2</f>
        <v>621.39746663399978</v>
      </c>
      <c r="T17" s="1">
        <v>663.09472457999993</v>
      </c>
    </row>
    <row r="18" spans="2:20" x14ac:dyDescent="0.25">
      <c r="B18" t="s">
        <v>18</v>
      </c>
      <c r="C18" s="1"/>
      <c r="D18" s="1"/>
      <c r="E18" s="1"/>
      <c r="F18" s="1">
        <v>524.88982838599998</v>
      </c>
      <c r="G18" s="5">
        <f>(F18+H18)/2</f>
        <v>559.34385509999993</v>
      </c>
      <c r="H18" s="1">
        <v>593.79788181399988</v>
      </c>
      <c r="I18" s="5">
        <f>(H18+J18)/2</f>
        <v>624.19892930999981</v>
      </c>
      <c r="J18" s="1">
        <v>654.59997680599986</v>
      </c>
      <c r="K18" s="5">
        <f>(J18+L18)/2</f>
        <v>675.74486583199985</v>
      </c>
      <c r="L18" s="1">
        <v>696.88975485799983</v>
      </c>
      <c r="M18" s="5">
        <f>(L18+N18)/2</f>
        <v>715.10035471799983</v>
      </c>
      <c r="N18" s="1">
        <v>733.31095457799995</v>
      </c>
      <c r="O18" s="5">
        <f>(N18+P18)/2</f>
        <v>750.39177739499996</v>
      </c>
      <c r="P18" s="1">
        <v>767.47260021199997</v>
      </c>
      <c r="Q18" s="5">
        <f>(P18+R18)/2</f>
        <v>781.917613018</v>
      </c>
      <c r="R18" s="1">
        <v>796.36262582400002</v>
      </c>
      <c r="S18" s="5">
        <f>(R18+T18)/2</f>
        <v>809.39760614199997</v>
      </c>
      <c r="T18" s="1">
        <v>822.43258645999992</v>
      </c>
    </row>
    <row r="19" spans="2:20" x14ac:dyDescent="0.25">
      <c r="B19" t="s">
        <v>19</v>
      </c>
      <c r="C19" s="1"/>
      <c r="D19" s="1"/>
      <c r="E19" s="1"/>
      <c r="F19" s="1">
        <f t="shared" ref="F19:T19" si="0">SUM(F9:F18)</f>
        <v>2955.0280276599992</v>
      </c>
      <c r="G19" s="5">
        <f t="shared" si="0"/>
        <v>3035.7099964699992</v>
      </c>
      <c r="H19" s="1">
        <f t="shared" si="0"/>
        <v>3116.3919652799977</v>
      </c>
      <c r="I19" s="5">
        <f t="shared" si="0"/>
        <v>3204.3909796929975</v>
      </c>
      <c r="J19" s="1">
        <f t="shared" si="0"/>
        <v>3292.3899941059972</v>
      </c>
      <c r="K19" s="5">
        <f t="shared" si="0"/>
        <v>3392.1008839829988</v>
      </c>
      <c r="L19" s="1">
        <f t="shared" si="0"/>
        <v>3491.8117738600008</v>
      </c>
      <c r="M19" s="5">
        <f t="shared" si="0"/>
        <v>3608.5067249800018</v>
      </c>
      <c r="N19" s="1">
        <f t="shared" si="0"/>
        <v>3725.2016761000036</v>
      </c>
      <c r="O19" s="5">
        <f t="shared" si="0"/>
        <v>3821.7700404800016</v>
      </c>
      <c r="P19" s="1">
        <f t="shared" si="0"/>
        <v>3918.9543887900004</v>
      </c>
      <c r="Q19" s="5">
        <f t="shared" si="0"/>
        <v>4019.6382355790006</v>
      </c>
      <c r="R19" s="1">
        <f t="shared" si="0"/>
        <v>4120.3220823679994</v>
      </c>
      <c r="S19" s="5">
        <f t="shared" si="0"/>
        <v>4220.5076273109999</v>
      </c>
      <c r="T19" s="1">
        <f t="shared" si="0"/>
        <v>4320.6931722539994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T79"/>
  <sheetViews>
    <sheetView topLeftCell="A55" workbookViewId="0">
      <selection activeCell="E69" sqref="E69:T69"/>
    </sheetView>
  </sheetViews>
  <sheetFormatPr defaultRowHeight="15" x14ac:dyDescent="0.25"/>
  <cols>
    <col min="1" max="1" width="2.7109375" customWidth="1"/>
    <col min="2" max="2" width="37.140625" bestFit="1" customWidth="1"/>
    <col min="3" max="3" width="20.140625" bestFit="1" customWidth="1"/>
    <col min="4" max="20" width="7.5703125" bestFit="1" customWidth="1"/>
    <col min="21" max="21" width="2.7109375" customWidth="1"/>
  </cols>
  <sheetData>
    <row r="2" spans="2:20" x14ac:dyDescent="0.25">
      <c r="B2" s="3" t="s">
        <v>20</v>
      </c>
    </row>
    <row r="4" spans="2:20" x14ac:dyDescent="0.25">
      <c r="B4" t="s">
        <v>2</v>
      </c>
      <c r="C4" t="s">
        <v>3</v>
      </c>
    </row>
    <row r="5" spans="2:20" x14ac:dyDescent="0.25">
      <c r="B5" t="s">
        <v>4</v>
      </c>
      <c r="C5" t="s">
        <v>34</v>
      </c>
    </row>
    <row r="7" spans="2:20" x14ac:dyDescent="0.25">
      <c r="B7" t="s">
        <v>21</v>
      </c>
      <c r="C7" t="s">
        <v>7</v>
      </c>
    </row>
    <row r="8" spans="2:20" x14ac:dyDescent="0.25">
      <c r="B8" t="s">
        <v>8</v>
      </c>
      <c r="C8">
        <v>2023</v>
      </c>
      <c r="D8">
        <v>2024</v>
      </c>
      <c r="E8">
        <v>2025</v>
      </c>
      <c r="F8">
        <v>2026</v>
      </c>
      <c r="G8">
        <v>2027</v>
      </c>
      <c r="H8">
        <v>2028</v>
      </c>
      <c r="I8">
        <v>2029</v>
      </c>
      <c r="J8">
        <v>2030</v>
      </c>
      <c r="K8">
        <v>2031</v>
      </c>
      <c r="L8">
        <v>2032</v>
      </c>
      <c r="M8">
        <v>2033</v>
      </c>
      <c r="N8">
        <v>2034</v>
      </c>
      <c r="O8">
        <v>2035</v>
      </c>
      <c r="P8">
        <v>2036</v>
      </c>
      <c r="Q8">
        <v>2037</v>
      </c>
      <c r="R8">
        <v>2038</v>
      </c>
      <c r="S8">
        <v>2039</v>
      </c>
      <c r="T8">
        <v>2040</v>
      </c>
    </row>
    <row r="9" spans="2:20" x14ac:dyDescent="0.25">
      <c r="B9" t="s">
        <v>9</v>
      </c>
      <c r="C9" s="1"/>
      <c r="D9" s="1"/>
      <c r="E9" s="1">
        <v>91.510999999999996</v>
      </c>
      <c r="F9" s="1">
        <v>88.801600000000008</v>
      </c>
      <c r="G9" s="1">
        <v>84.0535</v>
      </c>
      <c r="H9" s="1">
        <v>81.423699999999997</v>
      </c>
      <c r="I9" s="1">
        <v>67.992699999999999</v>
      </c>
      <c r="J9" s="1">
        <v>58.193600000000004</v>
      </c>
      <c r="K9" s="1">
        <v>52.5565</v>
      </c>
      <c r="L9" s="1">
        <v>46.903700000000001</v>
      </c>
      <c r="M9" s="1">
        <v>42.241100000000003</v>
      </c>
      <c r="N9" s="1">
        <v>38.755400000000002</v>
      </c>
      <c r="O9" s="1">
        <v>34.5548</v>
      </c>
      <c r="P9" s="1">
        <v>29.249400000000001</v>
      </c>
      <c r="Q9" s="1">
        <v>22.26</v>
      </c>
      <c r="R9" s="1">
        <v>14.0664</v>
      </c>
      <c r="S9" s="1">
        <v>12.9773</v>
      </c>
      <c r="T9" s="1">
        <v>12.8428</v>
      </c>
    </row>
    <row r="10" spans="2:20" x14ac:dyDescent="0.25">
      <c r="B10" t="s">
        <v>10</v>
      </c>
      <c r="C10" s="1"/>
      <c r="D10" s="1"/>
      <c r="E10" s="1">
        <v>241.99600000000001</v>
      </c>
      <c r="F10" s="1">
        <v>242.3955</v>
      </c>
      <c r="G10" s="1">
        <v>244.7782</v>
      </c>
      <c r="H10" s="1">
        <v>254.34880000000001</v>
      </c>
      <c r="I10" s="1">
        <v>266.08429999999998</v>
      </c>
      <c r="J10" s="1">
        <v>273.74810000000002</v>
      </c>
      <c r="K10" s="1">
        <v>282.16149999999999</v>
      </c>
      <c r="L10" s="1">
        <v>285.50279999999998</v>
      </c>
      <c r="M10" s="1">
        <v>289.34570000000002</v>
      </c>
      <c r="N10" s="1">
        <v>297.28100000000001</v>
      </c>
      <c r="O10" s="1">
        <v>303.97489999999999</v>
      </c>
      <c r="P10" s="1">
        <v>313.12230000000011</v>
      </c>
      <c r="Q10" s="1">
        <v>318.74650000000003</v>
      </c>
      <c r="R10" s="1">
        <v>324.49439999999998</v>
      </c>
      <c r="S10" s="1">
        <v>330.23570000000001</v>
      </c>
      <c r="T10" s="1">
        <v>336.78339999999997</v>
      </c>
    </row>
    <row r="11" spans="2:20" x14ac:dyDescent="0.25">
      <c r="B11" t="s">
        <v>11</v>
      </c>
      <c r="C11" s="1"/>
      <c r="D11" s="1"/>
      <c r="E11" s="1">
        <v>110.334</v>
      </c>
      <c r="F11" s="1">
        <v>110.70099999999999</v>
      </c>
      <c r="G11" s="1">
        <v>111.033</v>
      </c>
      <c r="H11" s="1">
        <v>111.405</v>
      </c>
      <c r="I11" s="1">
        <v>111.967</v>
      </c>
      <c r="J11" s="1">
        <v>112.349</v>
      </c>
      <c r="K11" s="1">
        <v>112.551</v>
      </c>
      <c r="L11" s="1">
        <v>112.68300000000001</v>
      </c>
      <c r="M11" s="1">
        <v>112.815</v>
      </c>
      <c r="N11" s="1">
        <v>112.997</v>
      </c>
      <c r="O11" s="1">
        <v>113.224</v>
      </c>
      <c r="P11" s="1">
        <v>113.496</v>
      </c>
      <c r="Q11" s="1">
        <v>113.72799999999999</v>
      </c>
      <c r="R11" s="1">
        <v>113.85</v>
      </c>
      <c r="S11" s="1">
        <v>114.17700000000001</v>
      </c>
      <c r="T11" s="1">
        <v>114.449</v>
      </c>
    </row>
    <row r="12" spans="2:20" x14ac:dyDescent="0.25">
      <c r="B12" t="s">
        <v>12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0.8</v>
      </c>
      <c r="P12" s="1">
        <v>1.2</v>
      </c>
      <c r="Q12" s="1">
        <v>1.6</v>
      </c>
      <c r="R12" s="1">
        <v>1.8</v>
      </c>
      <c r="S12" s="1">
        <v>2.2000000000000002</v>
      </c>
      <c r="T12" s="1">
        <v>2.6</v>
      </c>
    </row>
    <row r="13" spans="2:20" x14ac:dyDescent="0.25">
      <c r="B13" t="s">
        <v>13</v>
      </c>
      <c r="C13" s="1"/>
      <c r="D13" s="1">
        <v>104.14400000000001</v>
      </c>
      <c r="E13" s="1">
        <v>104.14400000000001</v>
      </c>
      <c r="F13" s="1">
        <v>102.244</v>
      </c>
      <c r="G13" s="1">
        <v>102.244</v>
      </c>
      <c r="H13" s="1">
        <v>102.244</v>
      </c>
      <c r="I13" s="1">
        <v>103.152</v>
      </c>
      <c r="J13" s="1">
        <v>98.02200000000002</v>
      </c>
      <c r="K13" s="1">
        <v>99.652000000000015</v>
      </c>
      <c r="L13" s="1">
        <v>99.652000000000015</v>
      </c>
      <c r="M13" s="1">
        <v>101.282</v>
      </c>
      <c r="N13" s="1">
        <v>101.282</v>
      </c>
      <c r="O13" s="1">
        <v>102.13</v>
      </c>
      <c r="P13" s="1">
        <v>104.074</v>
      </c>
      <c r="Q13" s="1">
        <v>105.374</v>
      </c>
      <c r="R13" s="1">
        <v>105.374</v>
      </c>
      <c r="S13" s="1">
        <v>105.38</v>
      </c>
      <c r="T13" s="1">
        <v>106.03</v>
      </c>
    </row>
    <row r="14" spans="2:20" x14ac:dyDescent="0.25">
      <c r="B14" t="s">
        <v>14</v>
      </c>
      <c r="C14" s="1"/>
      <c r="D14" s="1"/>
      <c r="E14" s="1">
        <v>19.568999999999999</v>
      </c>
      <c r="F14" s="1">
        <v>19.341100000000001</v>
      </c>
      <c r="G14" s="1">
        <v>18.593800000000002</v>
      </c>
      <c r="H14" s="1">
        <v>18.4544</v>
      </c>
      <c r="I14" s="1">
        <v>17.476500000000001</v>
      </c>
      <c r="J14" s="1">
        <v>16.840199999999999</v>
      </c>
      <c r="K14" s="1">
        <v>16.545300000000001</v>
      </c>
      <c r="L14" s="1">
        <v>15.1599</v>
      </c>
      <c r="M14" s="1">
        <v>14.438499999999999</v>
      </c>
      <c r="N14" s="1">
        <v>13.5114</v>
      </c>
      <c r="O14" s="1">
        <v>12.947900000000001</v>
      </c>
      <c r="P14" s="1">
        <v>12.7479</v>
      </c>
      <c r="Q14" s="1">
        <v>12.2621</v>
      </c>
      <c r="R14" s="1">
        <v>11.505599999999999</v>
      </c>
      <c r="S14" s="1">
        <v>11.1107</v>
      </c>
      <c r="T14" s="1">
        <v>10.777900000000001</v>
      </c>
    </row>
    <row r="15" spans="2:20" x14ac:dyDescent="0.25">
      <c r="B15" t="s">
        <v>15</v>
      </c>
      <c r="C15" s="1"/>
      <c r="D15" s="1"/>
      <c r="E15" s="1">
        <v>43.66</v>
      </c>
      <c r="F15" s="1">
        <v>44.308500000000002</v>
      </c>
      <c r="G15" s="1">
        <v>44.824300000000008</v>
      </c>
      <c r="H15" s="1">
        <v>45.036299999999997</v>
      </c>
      <c r="I15" s="1">
        <v>44.990600000000001</v>
      </c>
      <c r="J15" s="1">
        <v>45.299499999999988</v>
      </c>
      <c r="K15" s="1">
        <v>45.962800000000001</v>
      </c>
      <c r="L15" s="1">
        <v>46.639899999999997</v>
      </c>
      <c r="M15" s="1">
        <v>46.971900000000012</v>
      </c>
      <c r="N15" s="1">
        <v>47.524900000000002</v>
      </c>
      <c r="O15" s="1">
        <v>48.405000000000001</v>
      </c>
      <c r="P15" s="1">
        <v>49.612199999999987</v>
      </c>
      <c r="Q15" s="1">
        <v>50.566300000000012</v>
      </c>
      <c r="R15" s="1">
        <v>51.549199999999999</v>
      </c>
      <c r="S15" s="1">
        <v>52.491100000000003</v>
      </c>
      <c r="T15" s="1">
        <v>53.339500000000001</v>
      </c>
    </row>
    <row r="16" spans="2:20" x14ac:dyDescent="0.25">
      <c r="B16" t="s">
        <v>16</v>
      </c>
      <c r="C16" s="1"/>
      <c r="D16" s="1"/>
      <c r="E16" s="1">
        <v>417.16759999999999</v>
      </c>
      <c r="F16" s="1">
        <v>482.3184</v>
      </c>
      <c r="G16" s="1">
        <v>537.43309999999997</v>
      </c>
      <c r="H16" s="1">
        <v>592.72440000000006</v>
      </c>
      <c r="I16" s="1">
        <v>642.93119999999999</v>
      </c>
      <c r="J16" s="1">
        <v>691.42920000000004</v>
      </c>
      <c r="K16" s="1">
        <v>738.21849999999995</v>
      </c>
      <c r="L16" s="1">
        <v>778.01670000000001</v>
      </c>
      <c r="M16" s="1">
        <v>820.5874</v>
      </c>
      <c r="N16" s="1">
        <v>862.29309999999998</v>
      </c>
      <c r="O16" s="1">
        <v>896.38409999999988</v>
      </c>
      <c r="P16" s="1">
        <v>930.11800000000005</v>
      </c>
      <c r="Q16" s="1">
        <v>966.04290000000003</v>
      </c>
      <c r="R16" s="1">
        <v>1001.871</v>
      </c>
      <c r="S16" s="1">
        <v>1038.9903999999999</v>
      </c>
      <c r="T16" s="1">
        <v>1078.6074000000001</v>
      </c>
    </row>
    <row r="17" spans="2:20" x14ac:dyDescent="0.25">
      <c r="B17" t="s">
        <v>17</v>
      </c>
      <c r="C17" s="1"/>
      <c r="D17" s="1"/>
      <c r="E17" s="1">
        <v>37.101999999999997</v>
      </c>
      <c r="F17" s="1">
        <v>44.702000000000012</v>
      </c>
      <c r="G17" s="1">
        <v>54.002000000000002</v>
      </c>
      <c r="H17" s="1">
        <v>60.942</v>
      </c>
      <c r="I17" s="1">
        <v>64.722000000000008</v>
      </c>
      <c r="J17" s="1">
        <v>69.071999999999989</v>
      </c>
      <c r="K17" s="1">
        <v>77.301999999999992</v>
      </c>
      <c r="L17" s="1">
        <v>88.682000000000002</v>
      </c>
      <c r="M17" s="1">
        <v>100.77200000000001</v>
      </c>
      <c r="N17" s="1">
        <v>113.562</v>
      </c>
      <c r="O17" s="1">
        <v>124.14700000000001</v>
      </c>
      <c r="P17" s="1">
        <v>133.6516</v>
      </c>
      <c r="Q17" s="1">
        <v>145.4091</v>
      </c>
      <c r="R17" s="1">
        <v>155.32409999999999</v>
      </c>
      <c r="S17" s="1">
        <v>168.2226</v>
      </c>
      <c r="T17" s="1">
        <v>179.49969999999999</v>
      </c>
    </row>
    <row r="18" spans="2:20" x14ac:dyDescent="0.25">
      <c r="B18" t="s">
        <v>18</v>
      </c>
      <c r="C18" s="1"/>
      <c r="D18" s="1"/>
      <c r="E18" s="1">
        <v>237.97800000000001</v>
      </c>
      <c r="F18" s="1">
        <v>251.69800000000001</v>
      </c>
      <c r="G18" s="1">
        <v>269.238</v>
      </c>
      <c r="H18" s="1">
        <v>289.27800000000002</v>
      </c>
      <c r="I18" s="1">
        <v>306.928</v>
      </c>
      <c r="J18" s="1">
        <v>322.65620000000013</v>
      </c>
      <c r="K18" s="1">
        <v>336.46260000000012</v>
      </c>
      <c r="L18" s="1">
        <v>347.2681</v>
      </c>
      <c r="M18" s="1">
        <v>358.6117000000001</v>
      </c>
      <c r="N18" s="1">
        <v>370.07479999999998</v>
      </c>
      <c r="O18" s="1">
        <v>378.52969999999999</v>
      </c>
      <c r="P18" s="1">
        <v>385.86880000000002</v>
      </c>
      <c r="Q18" s="1">
        <v>392.50310000000002</v>
      </c>
      <c r="R18" s="1">
        <v>398.50380000000013</v>
      </c>
      <c r="S18" s="1">
        <v>404.18810000000002</v>
      </c>
      <c r="T18" s="1">
        <v>411.96370000000002</v>
      </c>
    </row>
    <row r="19" spans="2:20" x14ac:dyDescent="0.25">
      <c r="B19" t="s">
        <v>19</v>
      </c>
      <c r="C19" s="1"/>
      <c r="D19" s="1">
        <f t="shared" ref="D19:T19" si="0">SUM(D9:D18)</f>
        <v>104.14400000000001</v>
      </c>
      <c r="E19" s="1">
        <f t="shared" si="0"/>
        <v>1303.4616000000001</v>
      </c>
      <c r="F19" s="1">
        <f t="shared" si="0"/>
        <v>1386.5101</v>
      </c>
      <c r="G19" s="1">
        <f t="shared" si="0"/>
        <v>1466.1998999999998</v>
      </c>
      <c r="H19" s="1">
        <f t="shared" si="0"/>
        <v>1555.8566000000001</v>
      </c>
      <c r="I19" s="1">
        <f t="shared" si="0"/>
        <v>1626.2442999999998</v>
      </c>
      <c r="J19" s="1">
        <f t="shared" si="0"/>
        <v>1687.6098000000002</v>
      </c>
      <c r="K19" s="1">
        <f t="shared" si="0"/>
        <v>1761.4121999999998</v>
      </c>
      <c r="L19" s="1">
        <f t="shared" si="0"/>
        <v>1820.5081</v>
      </c>
      <c r="M19" s="1">
        <f t="shared" si="0"/>
        <v>1887.0653</v>
      </c>
      <c r="N19" s="1">
        <f t="shared" si="0"/>
        <v>1957.2815999999998</v>
      </c>
      <c r="O19" s="1">
        <f t="shared" si="0"/>
        <v>2015.0973999999999</v>
      </c>
      <c r="P19" s="1">
        <f t="shared" si="0"/>
        <v>2073.1401999999998</v>
      </c>
      <c r="Q19" s="1">
        <f t="shared" si="0"/>
        <v>2128.4920000000002</v>
      </c>
      <c r="R19" s="1">
        <f t="shared" si="0"/>
        <v>2178.3385000000003</v>
      </c>
      <c r="S19" s="1">
        <f t="shared" si="0"/>
        <v>2239.9728999999998</v>
      </c>
      <c r="T19" s="1">
        <f t="shared" si="0"/>
        <v>2306.8934000000004</v>
      </c>
    </row>
    <row r="22" spans="2:20" x14ac:dyDescent="0.25">
      <c r="B22" s="3" t="s">
        <v>22</v>
      </c>
    </row>
    <row r="24" spans="2:20" x14ac:dyDescent="0.25">
      <c r="B24" t="s">
        <v>2</v>
      </c>
      <c r="C24" t="s">
        <v>3</v>
      </c>
    </row>
    <row r="25" spans="2:20" x14ac:dyDescent="0.25">
      <c r="B25" t="s">
        <v>4</v>
      </c>
      <c r="C25" t="s">
        <v>34</v>
      </c>
    </row>
    <row r="27" spans="2:20" x14ac:dyDescent="0.25">
      <c r="B27" t="s">
        <v>23</v>
      </c>
      <c r="C27" t="s">
        <v>7</v>
      </c>
    </row>
    <row r="28" spans="2:20" x14ac:dyDescent="0.25">
      <c r="B28" t="s">
        <v>8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</row>
    <row r="29" spans="2:20" x14ac:dyDescent="0.25">
      <c r="B29" t="s">
        <v>9</v>
      </c>
      <c r="C29" s="1"/>
      <c r="D29" s="1"/>
      <c r="E29" s="1">
        <v>0</v>
      </c>
      <c r="F29" s="1">
        <v>-2.7094</v>
      </c>
      <c r="G29" s="1">
        <v>-4.7481</v>
      </c>
      <c r="H29" s="1">
        <v>-2.6297999999999999</v>
      </c>
      <c r="I29" s="1">
        <v>-13.430999999999999</v>
      </c>
      <c r="J29" s="1">
        <v>-9.7990999999999993</v>
      </c>
      <c r="K29" s="1">
        <v>-5.6370999999999993</v>
      </c>
      <c r="L29" s="1">
        <v>-5.6528000000000009</v>
      </c>
      <c r="M29" s="1">
        <v>-4.6625999999999994</v>
      </c>
      <c r="N29" s="1">
        <v>-3.4857</v>
      </c>
      <c r="O29" s="1">
        <v>-4.2005999999999997</v>
      </c>
      <c r="P29" s="1">
        <v>-5.3054000000000006</v>
      </c>
      <c r="Q29" s="1">
        <v>-6.9894000000000007</v>
      </c>
      <c r="R29" s="1">
        <v>-8.1936</v>
      </c>
      <c r="S29" s="1">
        <v>-1.0891</v>
      </c>
      <c r="T29" s="1">
        <v>-0.13450000000000001</v>
      </c>
    </row>
    <row r="30" spans="2:20" x14ac:dyDescent="0.25">
      <c r="B30" t="s">
        <v>10</v>
      </c>
      <c r="C30" s="1"/>
      <c r="D30" s="1"/>
      <c r="E30" s="1">
        <v>0</v>
      </c>
      <c r="F30" s="1">
        <v>0.39950000000000002</v>
      </c>
      <c r="G30" s="1">
        <v>2.3826999999999998</v>
      </c>
      <c r="H30" s="1">
        <v>9.5706000000000007</v>
      </c>
      <c r="I30" s="1">
        <v>11.7355</v>
      </c>
      <c r="J30" s="1">
        <v>7.6638000000000002</v>
      </c>
      <c r="K30" s="1">
        <v>8.4133999999999993</v>
      </c>
      <c r="L30" s="1">
        <v>3.3412999999999999</v>
      </c>
      <c r="M30" s="1">
        <v>3.8429000000000002</v>
      </c>
      <c r="N30" s="1">
        <v>7.9352999999999998</v>
      </c>
      <c r="O30" s="1">
        <v>6.6939000000000002</v>
      </c>
      <c r="P30" s="1">
        <v>9.1473999999999993</v>
      </c>
      <c r="Q30" s="1">
        <v>5.6241999999999992</v>
      </c>
      <c r="R30" s="1">
        <v>5.7478999999999996</v>
      </c>
      <c r="S30" s="1">
        <v>5.7412999999999998</v>
      </c>
      <c r="T30" s="1">
        <v>6.5477000000000007</v>
      </c>
    </row>
    <row r="31" spans="2:20" x14ac:dyDescent="0.25">
      <c r="B31" t="s">
        <v>11</v>
      </c>
      <c r="C31" s="1"/>
      <c r="D31" s="1"/>
      <c r="E31" s="1">
        <v>0</v>
      </c>
      <c r="F31" s="1">
        <v>0.36699999999999999</v>
      </c>
      <c r="G31" s="1">
        <v>0.33200000000000002</v>
      </c>
      <c r="H31" s="1">
        <v>0.372</v>
      </c>
      <c r="I31" s="1">
        <v>0.56200000000000006</v>
      </c>
      <c r="J31" s="1">
        <v>0.38200000000000001</v>
      </c>
      <c r="K31" s="1">
        <v>0.20200000000000001</v>
      </c>
      <c r="L31" s="1">
        <v>0.13200000000000001</v>
      </c>
      <c r="M31" s="1">
        <v>0.13200000000000001</v>
      </c>
      <c r="N31" s="1">
        <v>0.182</v>
      </c>
      <c r="O31" s="1">
        <v>0.22700000000000001</v>
      </c>
      <c r="P31" s="1">
        <v>0.27200000000000002</v>
      </c>
      <c r="Q31" s="1">
        <v>0.23200000000000001</v>
      </c>
      <c r="R31" s="1">
        <v>0.122</v>
      </c>
      <c r="S31" s="1">
        <v>0.32700000000000012</v>
      </c>
      <c r="T31" s="1">
        <v>0.27200000000000002</v>
      </c>
    </row>
    <row r="32" spans="2:20" x14ac:dyDescent="0.25">
      <c r="B32" t="s">
        <v>12</v>
      </c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0.8</v>
      </c>
      <c r="P32" s="1">
        <v>0.4</v>
      </c>
      <c r="Q32" s="1">
        <v>0.4</v>
      </c>
      <c r="R32" s="1">
        <v>0.2</v>
      </c>
      <c r="S32" s="1">
        <v>0.4</v>
      </c>
      <c r="T32" s="1">
        <v>0.4</v>
      </c>
    </row>
    <row r="33" spans="2:20" x14ac:dyDescent="0.25">
      <c r="B33" t="s">
        <v>13</v>
      </c>
      <c r="C33" s="1"/>
      <c r="D33" s="1">
        <v>0</v>
      </c>
      <c r="E33" s="1">
        <v>0</v>
      </c>
      <c r="F33" s="1">
        <v>-1.9</v>
      </c>
      <c r="G33" s="1">
        <v>0</v>
      </c>
      <c r="H33" s="1">
        <v>0</v>
      </c>
      <c r="I33" s="1">
        <v>0.90800000000000003</v>
      </c>
      <c r="J33" s="1">
        <v>-5.13</v>
      </c>
      <c r="K33" s="1">
        <v>1.63</v>
      </c>
      <c r="L33" s="1">
        <v>0</v>
      </c>
      <c r="M33" s="1">
        <v>1.63</v>
      </c>
      <c r="N33" s="1">
        <v>0</v>
      </c>
      <c r="O33" s="1">
        <v>0.84799999999999998</v>
      </c>
      <c r="P33" s="1">
        <v>1.944</v>
      </c>
      <c r="Q33" s="1">
        <v>1.3</v>
      </c>
      <c r="R33" s="1">
        <v>0</v>
      </c>
      <c r="S33" s="1">
        <v>6.0000000000000001E-3</v>
      </c>
      <c r="T33" s="1">
        <v>0.65</v>
      </c>
    </row>
    <row r="34" spans="2:20" x14ac:dyDescent="0.25">
      <c r="B34" t="s">
        <v>14</v>
      </c>
      <c r="C34" s="1"/>
      <c r="D34" s="1"/>
      <c r="E34" s="1">
        <v>0</v>
      </c>
      <c r="F34" s="1">
        <v>-0.22789999999999999</v>
      </c>
      <c r="G34" s="1">
        <v>-0.74729999999999996</v>
      </c>
      <c r="H34" s="1">
        <v>-0.1394</v>
      </c>
      <c r="I34" s="1">
        <v>-0.97789999999999999</v>
      </c>
      <c r="J34" s="1">
        <v>-0.63629999999999998</v>
      </c>
      <c r="K34" s="1">
        <v>-0.2949</v>
      </c>
      <c r="L34" s="1">
        <v>-1.3854</v>
      </c>
      <c r="M34" s="1">
        <v>-0.72140000000000004</v>
      </c>
      <c r="N34" s="1">
        <v>-0.92710000000000004</v>
      </c>
      <c r="O34" s="1">
        <v>-0.5635</v>
      </c>
      <c r="P34" s="1">
        <v>-0.2</v>
      </c>
      <c r="Q34" s="1">
        <v>-0.48580000000000001</v>
      </c>
      <c r="R34" s="1">
        <v>-0.75649999999999995</v>
      </c>
      <c r="S34" s="1">
        <v>-0.39489999999999997</v>
      </c>
      <c r="T34" s="1">
        <v>-0.33279999999999998</v>
      </c>
    </row>
    <row r="35" spans="2:20" x14ac:dyDescent="0.25">
      <c r="B35" t="s">
        <v>15</v>
      </c>
      <c r="C35" s="1"/>
      <c r="D35" s="1"/>
      <c r="E35" s="1">
        <v>0</v>
      </c>
      <c r="F35" s="1">
        <v>0.64850000000000008</v>
      </c>
      <c r="G35" s="1">
        <v>0.51580000000000004</v>
      </c>
      <c r="H35" s="1">
        <v>0.21199999999999999</v>
      </c>
      <c r="I35" s="1">
        <v>-4.5699999999999991E-2</v>
      </c>
      <c r="J35" s="1">
        <v>0.30890000000000001</v>
      </c>
      <c r="K35" s="1">
        <v>0.66330000000000011</v>
      </c>
      <c r="L35" s="1">
        <v>0.67710000000000004</v>
      </c>
      <c r="M35" s="1">
        <v>0.33200000000000007</v>
      </c>
      <c r="N35" s="1">
        <v>0.55300000000000005</v>
      </c>
      <c r="O35" s="1">
        <v>0.88009999999999999</v>
      </c>
      <c r="P35" s="1">
        <v>1.2072000000000001</v>
      </c>
      <c r="Q35" s="1">
        <v>0.95410000000000006</v>
      </c>
      <c r="R35" s="1">
        <v>0.9829</v>
      </c>
      <c r="S35" s="1">
        <v>0.94190000000000007</v>
      </c>
      <c r="T35" s="1">
        <v>0.84840000000000004</v>
      </c>
    </row>
    <row r="36" spans="2:20" x14ac:dyDescent="0.25">
      <c r="B36" t="s">
        <v>16</v>
      </c>
      <c r="C36" s="1"/>
      <c r="D36" s="1"/>
      <c r="E36" s="1">
        <v>0</v>
      </c>
      <c r="F36" s="1">
        <v>65.15079999999999</v>
      </c>
      <c r="G36" s="1">
        <v>55.114699999999999</v>
      </c>
      <c r="H36" s="1">
        <v>55.2913</v>
      </c>
      <c r="I36" s="1">
        <v>50.206800000000001</v>
      </c>
      <c r="J36" s="1">
        <v>48.497999999999998</v>
      </c>
      <c r="K36" s="1">
        <v>46.789299999999997</v>
      </c>
      <c r="L36" s="1">
        <v>39.798199999999987</v>
      </c>
      <c r="M36" s="1">
        <v>42.570700000000002</v>
      </c>
      <c r="N36" s="1">
        <v>41.705699999999993</v>
      </c>
      <c r="O36" s="1">
        <v>34.091000000000001</v>
      </c>
      <c r="P36" s="1">
        <v>33.733899999999998</v>
      </c>
      <c r="Q36" s="1">
        <v>35.924900000000001</v>
      </c>
      <c r="R36" s="1">
        <v>35.828100000000013</v>
      </c>
      <c r="S36" s="1">
        <v>37.119399999999999</v>
      </c>
      <c r="T36" s="1">
        <v>39.616999999999997</v>
      </c>
    </row>
    <row r="37" spans="2:20" x14ac:dyDescent="0.25">
      <c r="B37" t="s">
        <v>17</v>
      </c>
      <c r="C37" s="1"/>
      <c r="D37" s="1"/>
      <c r="E37" s="1">
        <v>0</v>
      </c>
      <c r="F37" s="1">
        <v>7.6</v>
      </c>
      <c r="G37" s="1">
        <v>9.3000000000000007</v>
      </c>
      <c r="H37" s="1">
        <v>6.94</v>
      </c>
      <c r="I37" s="1">
        <v>3.78</v>
      </c>
      <c r="J37" s="1">
        <v>4.3499999999999996</v>
      </c>
      <c r="K37" s="1">
        <v>8.23</v>
      </c>
      <c r="L37" s="1">
        <v>11.38</v>
      </c>
      <c r="M37" s="1">
        <v>12.09</v>
      </c>
      <c r="N37" s="1">
        <v>12.79</v>
      </c>
      <c r="O37" s="1">
        <v>10.585000000000001</v>
      </c>
      <c r="P37" s="1">
        <v>9.5045999999999999</v>
      </c>
      <c r="Q37" s="1">
        <v>11.7575</v>
      </c>
      <c r="R37" s="1">
        <v>9.9149999999999991</v>
      </c>
      <c r="S37" s="1">
        <v>12.8985</v>
      </c>
      <c r="T37" s="1">
        <v>11.277100000000001</v>
      </c>
    </row>
    <row r="38" spans="2:20" x14ac:dyDescent="0.25">
      <c r="B38" t="s">
        <v>18</v>
      </c>
      <c r="C38" s="1"/>
      <c r="D38" s="1"/>
      <c r="E38" s="1">
        <v>0</v>
      </c>
      <c r="F38" s="1">
        <v>13.72</v>
      </c>
      <c r="G38" s="1">
        <v>17.54</v>
      </c>
      <c r="H38" s="1">
        <v>20.04</v>
      </c>
      <c r="I38" s="1">
        <v>17.649999999999999</v>
      </c>
      <c r="J38" s="1">
        <v>15.728199999999999</v>
      </c>
      <c r="K38" s="1">
        <v>13.8064</v>
      </c>
      <c r="L38" s="1">
        <v>10.8055</v>
      </c>
      <c r="M38" s="1">
        <v>11.3436</v>
      </c>
      <c r="N38" s="1">
        <v>11.463100000000001</v>
      </c>
      <c r="O38" s="1">
        <v>8.4549000000000003</v>
      </c>
      <c r="P38" s="1">
        <v>7.3391000000000002</v>
      </c>
      <c r="Q38" s="1">
        <v>6.6342999999999996</v>
      </c>
      <c r="R38" s="1">
        <v>6.0007000000000001</v>
      </c>
      <c r="S38" s="1">
        <v>5.6843000000000004</v>
      </c>
      <c r="T38" s="1">
        <v>7.7755999999999998</v>
      </c>
    </row>
    <row r="39" spans="2:20" x14ac:dyDescent="0.25">
      <c r="B39" t="s">
        <v>19</v>
      </c>
      <c r="C39" s="1"/>
      <c r="D39" s="1">
        <f t="shared" ref="D39:T39" si="1">SUM(D29:D38)</f>
        <v>0</v>
      </c>
      <c r="E39" s="1">
        <f t="shared" si="1"/>
        <v>0</v>
      </c>
      <c r="F39" s="1">
        <f t="shared" si="1"/>
        <v>83.04849999999999</v>
      </c>
      <c r="G39" s="1">
        <f t="shared" si="1"/>
        <v>79.689799999999991</v>
      </c>
      <c r="H39" s="1">
        <f t="shared" si="1"/>
        <v>89.656700000000001</v>
      </c>
      <c r="I39" s="1">
        <f t="shared" si="1"/>
        <v>70.387699999999995</v>
      </c>
      <c r="J39" s="1">
        <f t="shared" si="1"/>
        <v>61.365500000000004</v>
      </c>
      <c r="K39" s="1">
        <f t="shared" si="1"/>
        <v>73.802399999999992</v>
      </c>
      <c r="L39" s="1">
        <f t="shared" si="1"/>
        <v>59.095899999999993</v>
      </c>
      <c r="M39" s="1">
        <f t="shared" si="1"/>
        <v>66.557199999999995</v>
      </c>
      <c r="N39" s="1">
        <f t="shared" si="1"/>
        <v>70.21629999999999</v>
      </c>
      <c r="O39" s="1">
        <f t="shared" si="1"/>
        <v>57.815800000000003</v>
      </c>
      <c r="P39" s="1">
        <f t="shared" si="1"/>
        <v>58.0428</v>
      </c>
      <c r="Q39" s="1">
        <f t="shared" si="1"/>
        <v>55.351799999999997</v>
      </c>
      <c r="R39" s="1">
        <f t="shared" si="1"/>
        <v>49.846500000000013</v>
      </c>
      <c r="S39" s="1">
        <f t="shared" si="1"/>
        <v>61.634399999999999</v>
      </c>
      <c r="T39" s="1">
        <f t="shared" si="1"/>
        <v>66.920500000000004</v>
      </c>
    </row>
    <row r="42" spans="2:20" x14ac:dyDescent="0.25">
      <c r="B42" s="3" t="s">
        <v>24</v>
      </c>
    </row>
    <row r="44" spans="2:20" x14ac:dyDescent="0.25">
      <c r="B44" t="s">
        <v>2</v>
      </c>
      <c r="C44" t="s">
        <v>3</v>
      </c>
    </row>
    <row r="45" spans="2:20" x14ac:dyDescent="0.25">
      <c r="B45" t="s">
        <v>4</v>
      </c>
      <c r="C45" t="s">
        <v>34</v>
      </c>
    </row>
    <row r="47" spans="2:20" x14ac:dyDescent="0.25">
      <c r="B47" t="s">
        <v>25</v>
      </c>
      <c r="C47" t="s">
        <v>7</v>
      </c>
    </row>
    <row r="48" spans="2:20" x14ac:dyDescent="0.25">
      <c r="B48" t="s">
        <v>8</v>
      </c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</row>
    <row r="49" spans="2:20" x14ac:dyDescent="0.25">
      <c r="B49" t="s">
        <v>9</v>
      </c>
      <c r="C49" s="1"/>
      <c r="D49" s="1"/>
      <c r="E49" s="1">
        <v>0.30980000000000002</v>
      </c>
      <c r="F49" s="1">
        <v>3.5548999999999999</v>
      </c>
      <c r="G49" s="1">
        <v>1.2623</v>
      </c>
      <c r="H49" s="1">
        <v>2.6297999999999999</v>
      </c>
      <c r="I49" s="1">
        <v>13.500999999999999</v>
      </c>
      <c r="J49" s="1">
        <v>10.1351</v>
      </c>
      <c r="K49" s="1">
        <v>6.2310999999999996</v>
      </c>
      <c r="L49" s="1">
        <v>5.6528000000000009</v>
      </c>
      <c r="M49" s="1">
        <v>4.9955999999999996</v>
      </c>
      <c r="N49" s="1">
        <v>3.4857</v>
      </c>
      <c r="O49" s="1">
        <v>4.2005999999999997</v>
      </c>
      <c r="P49" s="1">
        <v>5.3054000000000006</v>
      </c>
      <c r="Q49" s="1">
        <v>8.1394000000000002</v>
      </c>
      <c r="R49" s="1">
        <v>0.84160000000000001</v>
      </c>
      <c r="S49" s="1">
        <v>1.0891</v>
      </c>
      <c r="T49" s="1">
        <v>0.3362</v>
      </c>
    </row>
    <row r="50" spans="2:20" x14ac:dyDescent="0.25">
      <c r="B50" t="s">
        <v>10</v>
      </c>
      <c r="C50" s="1"/>
      <c r="D50" s="1"/>
      <c r="E50" s="1">
        <v>0.97680000000000011</v>
      </c>
      <c r="F50" s="1">
        <v>1.4562999999999999</v>
      </c>
      <c r="G50" s="1">
        <v>0.88370000000000004</v>
      </c>
      <c r="H50" s="1">
        <v>5.0313999999999997</v>
      </c>
      <c r="I50" s="1">
        <v>5.5592000000000006</v>
      </c>
      <c r="J50" s="1">
        <v>5.3321999999999994</v>
      </c>
      <c r="K50" s="1">
        <v>6.0743999999999998</v>
      </c>
      <c r="L50" s="1">
        <v>7.7169999999999996</v>
      </c>
      <c r="M50" s="1">
        <v>5.7835000000000001</v>
      </c>
      <c r="N50" s="1">
        <v>7.5794999999999986</v>
      </c>
      <c r="O50" s="1">
        <v>8.7751000000000001</v>
      </c>
      <c r="P50" s="1">
        <v>6.0390000000000006</v>
      </c>
      <c r="Q50" s="1">
        <v>5.399</v>
      </c>
      <c r="R50" s="1">
        <v>4.0060000000000002</v>
      </c>
      <c r="S50" s="1">
        <v>3.7612000000000001</v>
      </c>
      <c r="T50" s="1">
        <v>5.6111000000000004</v>
      </c>
    </row>
    <row r="51" spans="2:20" x14ac:dyDescent="0.25">
      <c r="B51" t="s">
        <v>11</v>
      </c>
      <c r="C51" s="1"/>
      <c r="D51" s="1"/>
      <c r="E51" s="1">
        <v>0.39539999999999997</v>
      </c>
      <c r="F51" s="1">
        <v>0.62030000000000007</v>
      </c>
      <c r="G51" s="1">
        <v>0.77449999999999997</v>
      </c>
      <c r="H51" s="1">
        <v>0.79979999999999996</v>
      </c>
      <c r="I51" s="1">
        <v>0.85850000000000004</v>
      </c>
      <c r="J51" s="1">
        <v>1.1606000000000001</v>
      </c>
      <c r="K51" s="1">
        <v>1.6153999999999999</v>
      </c>
      <c r="L51" s="1">
        <v>2.1941000000000002</v>
      </c>
      <c r="M51" s="1">
        <v>1.0708</v>
      </c>
      <c r="N51" s="1">
        <v>1.8968</v>
      </c>
      <c r="O51" s="1">
        <v>1.3969</v>
      </c>
      <c r="P51" s="1">
        <v>1.5886</v>
      </c>
      <c r="Q51" s="1">
        <v>1.1263000000000001</v>
      </c>
      <c r="R51" s="1">
        <v>2.4777999999999998</v>
      </c>
      <c r="S51" s="1">
        <v>2.0316000000000001</v>
      </c>
      <c r="T51" s="1">
        <v>2.5004</v>
      </c>
    </row>
    <row r="52" spans="2:20" x14ac:dyDescent="0.25">
      <c r="B52" t="s">
        <v>12</v>
      </c>
      <c r="C52" s="1"/>
      <c r="D52" s="1"/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2:20" x14ac:dyDescent="0.25">
      <c r="B53" t="s">
        <v>13</v>
      </c>
      <c r="C53" s="1"/>
      <c r="D53" s="1">
        <v>0</v>
      </c>
      <c r="E53" s="1">
        <v>0</v>
      </c>
      <c r="F53" s="1">
        <v>1.9</v>
      </c>
      <c r="G53" s="1">
        <v>3.38</v>
      </c>
      <c r="H53" s="1">
        <v>4.3289999999999997</v>
      </c>
      <c r="I53" s="1">
        <v>0</v>
      </c>
      <c r="J53" s="1">
        <v>6.5750000000000002</v>
      </c>
      <c r="K53" s="1">
        <v>0</v>
      </c>
      <c r="L53" s="1">
        <v>0</v>
      </c>
      <c r="M53" s="1">
        <v>0</v>
      </c>
      <c r="N53" s="1">
        <v>0</v>
      </c>
      <c r="O53" s="1">
        <v>2.7829999999999999</v>
      </c>
      <c r="P53" s="1">
        <v>0</v>
      </c>
      <c r="Q53" s="1">
        <v>1.014</v>
      </c>
      <c r="R53" s="1">
        <v>0</v>
      </c>
      <c r="S53" s="1">
        <v>3.58</v>
      </c>
      <c r="T53" s="1">
        <v>14.282</v>
      </c>
    </row>
    <row r="54" spans="2:20" x14ac:dyDescent="0.25">
      <c r="B54" t="s">
        <v>14</v>
      </c>
      <c r="C54" s="1"/>
      <c r="D54" s="1"/>
      <c r="E54" s="1">
        <v>1.09E-2</v>
      </c>
      <c r="F54" s="1">
        <v>0.54830000000000001</v>
      </c>
      <c r="G54" s="1">
        <v>1.2546999999999999</v>
      </c>
      <c r="H54" s="1">
        <v>1.0911</v>
      </c>
      <c r="I54" s="1">
        <v>1.1143000000000001</v>
      </c>
      <c r="J54" s="1">
        <v>1.0330999999999999</v>
      </c>
      <c r="K54" s="1">
        <v>1.1169</v>
      </c>
      <c r="L54" s="1">
        <v>2.162700000000001</v>
      </c>
      <c r="M54" s="1">
        <v>1.8567</v>
      </c>
      <c r="N54" s="1">
        <v>0.95890000000000009</v>
      </c>
      <c r="O54" s="1">
        <v>1.1999</v>
      </c>
      <c r="P54" s="1">
        <v>0.37640000000000012</v>
      </c>
      <c r="Q54" s="1">
        <v>0.87480000000000002</v>
      </c>
      <c r="R54" s="1">
        <v>0.99080000000000001</v>
      </c>
      <c r="S54" s="1">
        <v>0.93930000000000002</v>
      </c>
      <c r="T54" s="1">
        <v>0.43490000000000001</v>
      </c>
    </row>
    <row r="55" spans="2:20" x14ac:dyDescent="0.25">
      <c r="B55" t="s">
        <v>15</v>
      </c>
      <c r="C55" s="1"/>
      <c r="D55" s="1"/>
      <c r="E55" s="1">
        <v>1.49E-2</v>
      </c>
      <c r="F55" s="1">
        <v>4.5975999999999999</v>
      </c>
      <c r="G55" s="1">
        <v>0.55459999999999998</v>
      </c>
      <c r="H55" s="1">
        <v>0.27839999999999998</v>
      </c>
      <c r="I55" s="1">
        <v>0.46100000000000002</v>
      </c>
      <c r="J55" s="1">
        <v>0.97089999999999999</v>
      </c>
      <c r="K55" s="1">
        <v>1.7806999999999999</v>
      </c>
      <c r="L55" s="1">
        <v>1.8768</v>
      </c>
      <c r="M55" s="1">
        <v>0.5172000000000001</v>
      </c>
      <c r="N55" s="1">
        <v>2.0221</v>
      </c>
      <c r="O55" s="1">
        <v>0.78439999999999999</v>
      </c>
      <c r="P55" s="1">
        <v>2.0954999999999999</v>
      </c>
      <c r="Q55" s="1">
        <v>0.57499999999999996</v>
      </c>
      <c r="R55" s="1">
        <v>1.2968</v>
      </c>
      <c r="S55" s="1">
        <v>1.1938</v>
      </c>
      <c r="T55" s="1">
        <v>0.46079999999999988</v>
      </c>
    </row>
    <row r="56" spans="2:20" x14ac:dyDescent="0.25">
      <c r="B56" t="s">
        <v>16</v>
      </c>
      <c r="C56" s="1"/>
      <c r="D56" s="1"/>
      <c r="E56" s="1">
        <v>3.3E-3</v>
      </c>
      <c r="F56" s="1">
        <v>0</v>
      </c>
      <c r="G56" s="1">
        <v>1.1999999999999999E-3</v>
      </c>
      <c r="H56" s="1">
        <v>0</v>
      </c>
      <c r="I56" s="1">
        <v>0</v>
      </c>
      <c r="J56" s="1">
        <v>0</v>
      </c>
      <c r="K56" s="1">
        <v>0</v>
      </c>
      <c r="L56" s="1">
        <v>0.30549999999999999</v>
      </c>
      <c r="M56" s="1">
        <v>0</v>
      </c>
      <c r="N56" s="1">
        <v>1E-4</v>
      </c>
      <c r="O56" s="1">
        <v>1.1999999999999999E-3</v>
      </c>
      <c r="P56" s="1">
        <v>9.4999999999999998E-3</v>
      </c>
      <c r="Q56" s="1">
        <v>0.1196</v>
      </c>
      <c r="R56" s="1">
        <v>0.625</v>
      </c>
      <c r="S56" s="1">
        <v>0.38629999999999998</v>
      </c>
      <c r="T56" s="1">
        <v>1.1940999999999999</v>
      </c>
    </row>
    <row r="57" spans="2:20" x14ac:dyDescent="0.25">
      <c r="B57" t="s">
        <v>17</v>
      </c>
      <c r="C57" s="1"/>
      <c r="D57" s="1"/>
      <c r="E57" s="1">
        <v>2.3E-3</v>
      </c>
      <c r="F57" s="1">
        <v>0</v>
      </c>
      <c r="G57" s="1">
        <v>0</v>
      </c>
      <c r="H57" s="1">
        <v>2E-3</v>
      </c>
      <c r="I57" s="1">
        <v>0.12740000000000001</v>
      </c>
      <c r="J57" s="1">
        <v>0</v>
      </c>
      <c r="K57" s="1">
        <v>0.15</v>
      </c>
      <c r="L57" s="1">
        <v>0.18</v>
      </c>
      <c r="M57" s="1">
        <v>5.0000000000000001E-3</v>
      </c>
      <c r="N57" s="1">
        <v>0.26400000000000001</v>
      </c>
      <c r="O57" s="1">
        <v>0.26400000000000001</v>
      </c>
      <c r="P57" s="1">
        <v>0.26400000000000001</v>
      </c>
      <c r="Q57" s="1">
        <v>0.26400000000000001</v>
      </c>
      <c r="R57" s="1">
        <v>0.26400000000000001</v>
      </c>
      <c r="S57" s="1">
        <v>0.26400000000000001</v>
      </c>
      <c r="T57" s="1">
        <v>0.26400000000000001</v>
      </c>
    </row>
    <row r="58" spans="2:20" x14ac:dyDescent="0.25">
      <c r="B58" t="s">
        <v>18</v>
      </c>
      <c r="C58" s="1"/>
      <c r="D58" s="1"/>
      <c r="E58" s="1">
        <v>1.1068</v>
      </c>
      <c r="F58" s="1">
        <v>1.4817</v>
      </c>
      <c r="G58" s="1">
        <v>1.8631</v>
      </c>
      <c r="H58" s="1">
        <v>2.2734000000000001</v>
      </c>
      <c r="I58" s="1">
        <v>2.6966000000000001</v>
      </c>
      <c r="J58" s="1">
        <v>3.1035999999999988</v>
      </c>
      <c r="K58" s="1">
        <v>3.4851000000000001</v>
      </c>
      <c r="L58" s="1">
        <v>3.8290000000000002</v>
      </c>
      <c r="M58" s="1">
        <v>3.8791000000000002</v>
      </c>
      <c r="N58" s="1">
        <v>4.1242000000000001</v>
      </c>
      <c r="O58" s="1">
        <v>4.3967000000000001</v>
      </c>
      <c r="P58" s="1">
        <v>4.3967000000000001</v>
      </c>
      <c r="Q58" s="1">
        <v>4.1507999999999994</v>
      </c>
      <c r="R58" s="1">
        <v>4.2348999999999997</v>
      </c>
      <c r="S58" s="1">
        <v>4.1257999999999999</v>
      </c>
      <c r="T58" s="1">
        <v>2.9765000000000001</v>
      </c>
    </row>
    <row r="59" spans="2:20" x14ac:dyDescent="0.25">
      <c r="B59" t="s">
        <v>19</v>
      </c>
      <c r="C59" s="1"/>
      <c r="D59" s="1">
        <f t="shared" ref="D59:T59" si="2">SUM(D49:D58)</f>
        <v>0</v>
      </c>
      <c r="E59" s="1">
        <f t="shared" si="2"/>
        <v>2.8201999999999998</v>
      </c>
      <c r="F59" s="1">
        <f t="shared" si="2"/>
        <v>14.159099999999999</v>
      </c>
      <c r="G59" s="1">
        <f t="shared" si="2"/>
        <v>9.9741</v>
      </c>
      <c r="H59" s="1">
        <f t="shared" si="2"/>
        <v>16.434899999999999</v>
      </c>
      <c r="I59" s="1">
        <f t="shared" si="2"/>
        <v>24.318000000000001</v>
      </c>
      <c r="J59" s="1">
        <f t="shared" si="2"/>
        <v>28.310499999999998</v>
      </c>
      <c r="K59" s="1">
        <f t="shared" si="2"/>
        <v>20.453599999999994</v>
      </c>
      <c r="L59" s="1">
        <f t="shared" si="2"/>
        <v>23.917900000000003</v>
      </c>
      <c r="M59" s="1">
        <f t="shared" si="2"/>
        <v>18.107900000000001</v>
      </c>
      <c r="N59" s="1">
        <f t="shared" si="2"/>
        <v>20.331299999999999</v>
      </c>
      <c r="O59" s="1">
        <f t="shared" si="2"/>
        <v>23.8018</v>
      </c>
      <c r="P59" s="1">
        <f t="shared" si="2"/>
        <v>20.075099999999999</v>
      </c>
      <c r="Q59" s="1">
        <f t="shared" si="2"/>
        <v>21.662899999999997</v>
      </c>
      <c r="R59" s="1">
        <f t="shared" si="2"/>
        <v>14.736899999999999</v>
      </c>
      <c r="S59" s="1">
        <f t="shared" si="2"/>
        <v>17.371099999999998</v>
      </c>
      <c r="T59" s="1">
        <f t="shared" si="2"/>
        <v>28.06</v>
      </c>
    </row>
    <row r="62" spans="2:20" x14ac:dyDescent="0.25">
      <c r="B62" s="3" t="s">
        <v>26</v>
      </c>
    </row>
    <row r="64" spans="2:20" x14ac:dyDescent="0.25">
      <c r="B64" t="s">
        <v>2</v>
      </c>
      <c r="C64" t="s">
        <v>3</v>
      </c>
    </row>
    <row r="65" spans="2:20" x14ac:dyDescent="0.25">
      <c r="B65" t="s">
        <v>4</v>
      </c>
      <c r="C65" t="s">
        <v>34</v>
      </c>
    </row>
    <row r="67" spans="2:20" x14ac:dyDescent="0.25">
      <c r="B67" t="s">
        <v>27</v>
      </c>
      <c r="C67" t="s">
        <v>7</v>
      </c>
    </row>
    <row r="68" spans="2:20" x14ac:dyDescent="0.25">
      <c r="B68" t="s">
        <v>8</v>
      </c>
      <c r="C68">
        <v>2023</v>
      </c>
      <c r="D68">
        <v>2024</v>
      </c>
      <c r="E68">
        <v>2025</v>
      </c>
      <c r="F68">
        <v>2026</v>
      </c>
      <c r="G68">
        <v>2027</v>
      </c>
      <c r="H68">
        <v>2028</v>
      </c>
      <c r="I68">
        <v>2029</v>
      </c>
      <c r="J68">
        <v>2030</v>
      </c>
      <c r="K68">
        <v>2031</v>
      </c>
      <c r="L68">
        <v>2032</v>
      </c>
      <c r="M68">
        <v>2033</v>
      </c>
      <c r="N68">
        <v>2034</v>
      </c>
      <c r="O68">
        <v>2035</v>
      </c>
      <c r="P68">
        <v>2036</v>
      </c>
      <c r="Q68">
        <v>2037</v>
      </c>
      <c r="R68">
        <v>2038</v>
      </c>
      <c r="S68">
        <v>2039</v>
      </c>
      <c r="T68">
        <v>2040</v>
      </c>
    </row>
    <row r="69" spans="2:20" x14ac:dyDescent="0.25">
      <c r="B69" t="s">
        <v>9</v>
      </c>
      <c r="C69" s="1"/>
      <c r="D69" s="1"/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2:20" x14ac:dyDescent="0.25">
      <c r="B70" t="s">
        <v>10</v>
      </c>
      <c r="C70" s="1"/>
      <c r="D70" s="1"/>
      <c r="E70" s="1">
        <v>0</v>
      </c>
      <c r="F70" s="1">
        <v>1.8557999999999999</v>
      </c>
      <c r="G70" s="1">
        <v>3.2664</v>
      </c>
      <c r="H70" s="1">
        <v>14.602</v>
      </c>
      <c r="I70" s="1">
        <v>17.294699999999999</v>
      </c>
      <c r="J70" s="1">
        <v>12.996</v>
      </c>
      <c r="K70" s="1">
        <v>14.4878</v>
      </c>
      <c r="L70" s="1">
        <v>11.058299999999999</v>
      </c>
      <c r="M70" s="1">
        <v>9.6264000000000003</v>
      </c>
      <c r="N70" s="1">
        <v>15.514799999999999</v>
      </c>
      <c r="O70" s="1">
        <v>15.469099999999999</v>
      </c>
      <c r="P70" s="1">
        <v>15.186400000000001</v>
      </c>
      <c r="Q70" s="1">
        <v>11.023099999999999</v>
      </c>
      <c r="R70" s="1">
        <v>9.7538999999999998</v>
      </c>
      <c r="S70" s="1">
        <v>9.5024999999999995</v>
      </c>
      <c r="T70" s="1">
        <v>12.158799999999999</v>
      </c>
    </row>
    <row r="71" spans="2:20" x14ac:dyDescent="0.25">
      <c r="B71" t="s">
        <v>11</v>
      </c>
      <c r="C71" s="1"/>
      <c r="D71" s="1"/>
      <c r="E71" s="1">
        <v>0</v>
      </c>
      <c r="F71" s="1">
        <v>0.98730000000000007</v>
      </c>
      <c r="G71" s="1">
        <v>1.1065</v>
      </c>
      <c r="H71" s="1">
        <v>1.1718</v>
      </c>
      <c r="I71" s="1">
        <v>1.4205000000000001</v>
      </c>
      <c r="J71" s="1">
        <v>1.5427</v>
      </c>
      <c r="K71" s="1">
        <v>1.8173999999999999</v>
      </c>
      <c r="L71" s="1">
        <v>2.3260999999999998</v>
      </c>
      <c r="M71" s="1">
        <v>1.2028000000000001</v>
      </c>
      <c r="N71" s="1">
        <v>2.0789</v>
      </c>
      <c r="O71" s="1">
        <v>1.6237999999999999</v>
      </c>
      <c r="P71" s="1">
        <v>1.8606</v>
      </c>
      <c r="Q71" s="1">
        <v>1.3582000000000001</v>
      </c>
      <c r="R71" s="1">
        <v>2.5998999999999999</v>
      </c>
      <c r="S71" s="1">
        <v>2.3586</v>
      </c>
      <c r="T71" s="1">
        <v>2.7725</v>
      </c>
    </row>
    <row r="72" spans="2:20" x14ac:dyDescent="0.25">
      <c r="B72" t="s">
        <v>12</v>
      </c>
      <c r="C72" s="1"/>
      <c r="D72" s="1"/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0.8</v>
      </c>
      <c r="P72" s="1">
        <v>0.4</v>
      </c>
      <c r="Q72" s="1">
        <v>0.4</v>
      </c>
      <c r="R72" s="1">
        <v>0.2</v>
      </c>
      <c r="S72" s="1">
        <v>0.4</v>
      </c>
      <c r="T72" s="1">
        <v>0.4</v>
      </c>
    </row>
    <row r="73" spans="2:20" x14ac:dyDescent="0.25">
      <c r="B73" t="s">
        <v>13</v>
      </c>
      <c r="C73" s="1"/>
      <c r="D73" s="1">
        <v>0</v>
      </c>
      <c r="E73" s="1">
        <v>0</v>
      </c>
      <c r="F73" s="1">
        <v>0</v>
      </c>
      <c r="G73" s="1">
        <v>3.38</v>
      </c>
      <c r="H73" s="1">
        <v>4.3289999999999997</v>
      </c>
      <c r="I73" s="1">
        <v>0.90800000000000003</v>
      </c>
      <c r="J73" s="1">
        <v>1.4450000000000001</v>
      </c>
      <c r="K73" s="1">
        <v>1.63</v>
      </c>
      <c r="L73" s="1">
        <v>0</v>
      </c>
      <c r="M73" s="1">
        <v>1.63</v>
      </c>
      <c r="N73" s="1">
        <v>0</v>
      </c>
      <c r="O73" s="1">
        <v>3.6309999999999998</v>
      </c>
      <c r="P73" s="1">
        <v>1.944</v>
      </c>
      <c r="Q73" s="1">
        <v>2.3140000000000001</v>
      </c>
      <c r="R73" s="1">
        <v>0</v>
      </c>
      <c r="S73" s="1">
        <v>3.5859999999999999</v>
      </c>
      <c r="T73" s="1">
        <v>14.932</v>
      </c>
    </row>
    <row r="74" spans="2:20" x14ac:dyDescent="0.25">
      <c r="B74" t="s">
        <v>14</v>
      </c>
      <c r="C74" s="1"/>
      <c r="D74" s="1"/>
      <c r="E74" s="1">
        <v>0</v>
      </c>
      <c r="F74" s="1">
        <v>0.32040000000000002</v>
      </c>
      <c r="G74" s="1">
        <v>0.50740000000000007</v>
      </c>
      <c r="H74" s="1">
        <v>0.95169999999999999</v>
      </c>
      <c r="I74" s="1">
        <v>0.13639999999999999</v>
      </c>
      <c r="J74" s="1">
        <v>0.39679999999999999</v>
      </c>
      <c r="K74" s="1">
        <v>0.82199999999999995</v>
      </c>
      <c r="L74" s="1">
        <v>0.7773000000000001</v>
      </c>
      <c r="M74" s="1">
        <v>1.1353</v>
      </c>
      <c r="N74" s="1">
        <v>3.1800000000000002E-2</v>
      </c>
      <c r="O74" s="1">
        <v>0.63639999999999997</v>
      </c>
      <c r="P74" s="1">
        <v>0.1764</v>
      </c>
      <c r="Q74" s="1">
        <v>0.38900000000000001</v>
      </c>
      <c r="R74" s="1">
        <v>0.23430000000000001</v>
      </c>
      <c r="S74" s="1">
        <v>0.5444</v>
      </c>
      <c r="T74" s="1">
        <v>0.1021</v>
      </c>
    </row>
    <row r="75" spans="2:20" x14ac:dyDescent="0.25">
      <c r="B75" t="s">
        <v>15</v>
      </c>
      <c r="C75" s="1"/>
      <c r="D75" s="1"/>
      <c r="E75" s="1">
        <v>0</v>
      </c>
      <c r="F75" s="1">
        <v>5.2461000000000002</v>
      </c>
      <c r="G75" s="1">
        <v>1.0704</v>
      </c>
      <c r="H75" s="1">
        <v>0.4904</v>
      </c>
      <c r="I75" s="1">
        <v>0.4153</v>
      </c>
      <c r="J75" s="1">
        <v>1.2798</v>
      </c>
      <c r="K75" s="1">
        <v>2.444</v>
      </c>
      <c r="L75" s="1">
        <v>2.5539000000000001</v>
      </c>
      <c r="M75" s="1">
        <v>0.84920000000000007</v>
      </c>
      <c r="N75" s="1">
        <v>2.5750999999999999</v>
      </c>
      <c r="O75" s="1">
        <v>1.6645000000000001</v>
      </c>
      <c r="P75" s="1">
        <v>3.3027000000000002</v>
      </c>
      <c r="Q75" s="1">
        <v>1.5290999999999999</v>
      </c>
      <c r="R75" s="1">
        <v>2.2797000000000001</v>
      </c>
      <c r="S75" s="1">
        <v>2.1358000000000001</v>
      </c>
      <c r="T75" s="1">
        <v>1.3090999999999999</v>
      </c>
    </row>
    <row r="76" spans="2:20" x14ac:dyDescent="0.25">
      <c r="B76" t="s">
        <v>16</v>
      </c>
      <c r="C76" s="1"/>
      <c r="D76" s="1"/>
      <c r="E76" s="1">
        <v>0</v>
      </c>
      <c r="F76" s="1">
        <v>65.15079999999999</v>
      </c>
      <c r="G76" s="1">
        <v>55.115900000000003</v>
      </c>
      <c r="H76" s="1">
        <v>55.2913</v>
      </c>
      <c r="I76" s="1">
        <v>50.206800000000001</v>
      </c>
      <c r="J76" s="1">
        <v>48.497999999999998</v>
      </c>
      <c r="K76" s="1">
        <v>46.789299999999997</v>
      </c>
      <c r="L76" s="1">
        <v>40.103699999999989</v>
      </c>
      <c r="M76" s="1">
        <v>42.570700000000002</v>
      </c>
      <c r="N76" s="1">
        <v>41.705800000000004</v>
      </c>
      <c r="O76" s="1">
        <v>34.092199999999998</v>
      </c>
      <c r="P76" s="1">
        <v>33.743400000000001</v>
      </c>
      <c r="Q76" s="1">
        <v>36.044499999999999</v>
      </c>
      <c r="R76" s="1">
        <v>36.453099999999999</v>
      </c>
      <c r="S76" s="1">
        <v>37.505699999999997</v>
      </c>
      <c r="T76" s="1">
        <v>40.811100000000003</v>
      </c>
    </row>
    <row r="77" spans="2:20" x14ac:dyDescent="0.25">
      <c r="B77" t="s">
        <v>17</v>
      </c>
      <c r="C77" s="1"/>
      <c r="D77" s="1"/>
      <c r="E77" s="1">
        <v>0</v>
      </c>
      <c r="F77" s="1">
        <v>7.6</v>
      </c>
      <c r="G77" s="1">
        <v>9.3000000000000007</v>
      </c>
      <c r="H77" s="1">
        <v>6.9420000000000002</v>
      </c>
      <c r="I77" s="1">
        <v>3.9074</v>
      </c>
      <c r="J77" s="1">
        <v>4.3499999999999996</v>
      </c>
      <c r="K77" s="1">
        <v>8.379999999999999</v>
      </c>
      <c r="L77" s="1">
        <v>11.56</v>
      </c>
      <c r="M77" s="1">
        <v>12.095000000000001</v>
      </c>
      <c r="N77" s="1">
        <v>13.054</v>
      </c>
      <c r="O77" s="1">
        <v>10.849</v>
      </c>
      <c r="P77" s="1">
        <v>9.7685999999999993</v>
      </c>
      <c r="Q77" s="1">
        <v>12.0215</v>
      </c>
      <c r="R77" s="1">
        <v>10.179</v>
      </c>
      <c r="S77" s="1">
        <v>13.1625</v>
      </c>
      <c r="T77" s="1">
        <v>11.5411</v>
      </c>
    </row>
    <row r="78" spans="2:20" x14ac:dyDescent="0.25">
      <c r="B78" t="s">
        <v>18</v>
      </c>
      <c r="C78" s="1"/>
      <c r="D78" s="1"/>
      <c r="E78" s="1">
        <v>0</v>
      </c>
      <c r="F78" s="1">
        <v>15.2018</v>
      </c>
      <c r="G78" s="1">
        <v>19.403099999999998</v>
      </c>
      <c r="H78" s="1">
        <v>22.313300000000002</v>
      </c>
      <c r="I78" s="1">
        <v>20.346599999999999</v>
      </c>
      <c r="J78" s="1">
        <v>18.831800000000001</v>
      </c>
      <c r="K78" s="1">
        <v>17.291399999999999</v>
      </c>
      <c r="L78" s="1">
        <v>14.634399999999999</v>
      </c>
      <c r="M78" s="1">
        <v>15.2227</v>
      </c>
      <c r="N78" s="1">
        <v>15.587300000000001</v>
      </c>
      <c r="O78" s="1">
        <v>12.851599999999999</v>
      </c>
      <c r="P78" s="1">
        <v>11.735799999999999</v>
      </c>
      <c r="Q78" s="1">
        <v>10.7851</v>
      </c>
      <c r="R78" s="1">
        <v>10.2356</v>
      </c>
      <c r="S78" s="1">
        <v>9.8100999999999985</v>
      </c>
      <c r="T78" s="1">
        <v>10.7521</v>
      </c>
    </row>
    <row r="79" spans="2:20" x14ac:dyDescent="0.25">
      <c r="B79" t="s">
        <v>19</v>
      </c>
      <c r="C79" s="1"/>
      <c r="D79" s="1">
        <f t="shared" ref="D79:T79" si="3">SUM(D69:D78)</f>
        <v>0</v>
      </c>
      <c r="E79" s="1">
        <f t="shared" si="3"/>
        <v>0</v>
      </c>
      <c r="F79" s="1">
        <f t="shared" si="3"/>
        <v>96.362199999999987</v>
      </c>
      <c r="G79" s="1">
        <f t="shared" si="3"/>
        <v>93.149699999999996</v>
      </c>
      <c r="H79" s="1">
        <f t="shared" si="3"/>
        <v>106.0915</v>
      </c>
      <c r="I79" s="1">
        <f t="shared" si="3"/>
        <v>94.635699999999986</v>
      </c>
      <c r="J79" s="1">
        <f t="shared" si="3"/>
        <v>89.340099999999993</v>
      </c>
      <c r="K79" s="1">
        <f t="shared" si="3"/>
        <v>93.661899999999989</v>
      </c>
      <c r="L79" s="1">
        <f t="shared" si="3"/>
        <v>83.013699999999986</v>
      </c>
      <c r="M79" s="1">
        <f t="shared" si="3"/>
        <v>84.332100000000011</v>
      </c>
      <c r="N79" s="1">
        <f t="shared" si="3"/>
        <v>90.547700000000006</v>
      </c>
      <c r="O79" s="1">
        <f t="shared" si="3"/>
        <v>81.61760000000001</v>
      </c>
      <c r="P79" s="1">
        <f t="shared" si="3"/>
        <v>78.117900000000006</v>
      </c>
      <c r="Q79" s="1">
        <f t="shared" si="3"/>
        <v>75.864500000000007</v>
      </c>
      <c r="R79" s="1">
        <f t="shared" si="3"/>
        <v>71.935500000000005</v>
      </c>
      <c r="S79" s="1">
        <f t="shared" si="3"/>
        <v>79.005599999999987</v>
      </c>
      <c r="T79" s="1">
        <f t="shared" si="3"/>
        <v>94.778800000000004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Germany - Generation</vt:lpstr>
      <vt:lpstr>Germany - Capacity</vt:lpstr>
      <vt:lpstr>Italy - Generation</vt:lpstr>
      <vt:lpstr>Italy - Capacity</vt:lpstr>
      <vt:lpstr>Spain - Generation</vt:lpstr>
      <vt:lpstr>Spain - Capacity</vt:lpstr>
      <vt:lpstr>France - Generation</vt:lpstr>
      <vt:lpstr>France - Capacity</vt:lpstr>
      <vt:lpstr>Poland - Generation</vt:lpstr>
      <vt:lpstr>Poland - Capacity</vt:lpstr>
      <vt:lpstr>United Kingdom - Generation</vt:lpstr>
      <vt:lpstr>United Kingdom - Capacity</vt:lpstr>
      <vt:lpstr>Other EU - Generation</vt:lpstr>
      <vt:lpstr>Other EU - Capacity</vt:lpstr>
      <vt:lpstr>EU Total - Generation</vt:lpstr>
      <vt:lpstr>EU Total -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Loeffler, Konstantin Emanuel</dc:creator>
  <cp:keywords>C_Restricted</cp:keywords>
  <cp:lastModifiedBy>Loeffler, Konstantin Emanuel</cp:lastModifiedBy>
  <dcterms:created xsi:type="dcterms:W3CDTF">2021-05-26T12:30:13Z</dcterms:created>
  <dcterms:modified xsi:type="dcterms:W3CDTF">2026-07-07T15:16:08Z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  <property fmtid="{D5CDD505-2E9C-101B-9397-08002B2CF9AE}" pid="3" name="Document_Confidentiality">
    <vt:lpwstr>Restricted</vt:lpwstr>
  </property>
  <property fmtid="{D5CDD505-2E9C-101B-9397-08002B2CF9AE}" pid="4" name="sodocoClasLang">
    <vt:lpwstr>Intern</vt:lpwstr>
  </property>
  <property fmtid="{D5CDD505-2E9C-101B-9397-08002B2CF9AE}" pid="5" name="sodocoClasLangId">
    <vt:i4>0</vt:i4>
  </property>
  <property fmtid="{D5CDD505-2E9C-101B-9397-08002B2CF9AE}" pid="6" name="sodocoClasId">
    <vt:i4>1</vt:i4>
  </property>
  <property fmtid="{D5CDD505-2E9C-101B-9397-08002B2CF9AE}" pid="7" name="MSIP_Label_36791f77-3d39-4d72-9277-ac879ec799ed_Enabled">
    <vt:lpwstr>true</vt:lpwstr>
  </property>
  <property fmtid="{D5CDD505-2E9C-101B-9397-08002B2CF9AE}" pid="8" name="MSIP_Label_36791f77-3d39-4d72-9277-ac879ec799ed_SetDate">
    <vt:lpwstr>2022-05-24T10:30:01Z</vt:lpwstr>
  </property>
  <property fmtid="{D5CDD505-2E9C-101B-9397-08002B2CF9AE}" pid="9" name="MSIP_Label_36791f77-3d39-4d72-9277-ac879ec799ed_Method">
    <vt:lpwstr>Standard</vt:lpwstr>
  </property>
  <property fmtid="{D5CDD505-2E9C-101B-9397-08002B2CF9AE}" pid="10" name="MSIP_Label_36791f77-3d39-4d72-9277-ac879ec799ed_Name">
    <vt:lpwstr>restricted-default</vt:lpwstr>
  </property>
  <property fmtid="{D5CDD505-2E9C-101B-9397-08002B2CF9AE}" pid="11" name="MSIP_Label_36791f77-3d39-4d72-9277-ac879ec799ed_SiteId">
    <vt:lpwstr>254ba93e-1f6f-48f3-90e6-e2766664b477</vt:lpwstr>
  </property>
  <property fmtid="{D5CDD505-2E9C-101B-9397-08002B2CF9AE}" pid="12" name="MSIP_Label_36791f77-3d39-4d72-9277-ac879ec799ed_ActionId">
    <vt:lpwstr>81f9d668-8a2b-44d6-a4d7-6f9f707d18f7</vt:lpwstr>
  </property>
  <property fmtid="{D5CDD505-2E9C-101B-9397-08002B2CF9AE}" pid="13" name="MSIP_Label_36791f77-3d39-4d72-9277-ac879ec799ed_ContentBits">
    <vt:lpwstr>0</vt:lpwstr>
  </property>
</Properties>
</file>