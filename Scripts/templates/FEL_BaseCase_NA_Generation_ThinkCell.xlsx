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tal NA" sheetId="1" state="visible" r:id="rId3"/>
    <sheet name="Total US" sheetId="2" state="visible" r:id="rId4"/>
    <sheet name="California" sheetId="3" state="visible" r:id="rId5"/>
    <sheet name="ERCOT" sheetId="4" state="visible" r:id="rId6"/>
    <sheet name="MISO" sheetId="5" state="visible" r:id="rId7"/>
    <sheet name="New England" sheetId="6" state="visible" r:id="rId8"/>
    <sheet name="New York" sheetId="7" state="visible" r:id="rId9"/>
    <sheet name="PJM" sheetId="8" state="visible" r:id="rId10"/>
    <sheet name="SERC" sheetId="9" state="visible" r:id="rId11"/>
    <sheet name="SPP" sheetId="10" state="visible" r:id="rId12"/>
    <sheet name="WECC" sheetId="11" state="visible" r:id="rId13"/>
    <sheet name="Canad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<sst xmlns="http://schemas.openxmlformats.org/spreadsheetml/2006/main" count="180" uniqueCount="15">
  <si>
    <t xml:space="preserve">Category</t>
  </si>
  <si>
    <t xml:space="preserve">CAGR</t>
  </si>
  <si>
    <t xml:space="preserve">Coal</t>
  </si>
  <si>
    <t xml:space="preserve">Gas</t>
  </si>
  <si>
    <t xml:space="preserve">Gas CCS</t>
  </si>
  <si>
    <t xml:space="preserve">Other</t>
  </si>
  <si>
    <t xml:space="preserve">Nuclear</t>
  </si>
  <si>
    <t xml:space="preserve">Hydro</t>
  </si>
  <si>
    <t xml:space="preserve">Biomass</t>
  </si>
  <si>
    <t xml:space="preserve">Solar</t>
  </si>
  <si>
    <t xml:space="preserve">Wind Onshore</t>
  </si>
  <si>
    <t xml:space="preserve">Wind Offshore</t>
  </si>
  <si>
    <t xml:space="preserve">BESS</t>
  </si>
  <si>
    <t xml:space="preserve">LDES</t>
  </si>
  <si>
    <t xml:space="preserve">PHES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</si>
</sst>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\-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1222585.305556</v>
      </c>
      <c r="C2" s="5" t="n">
        <v>957300.388889</v>
      </c>
      <c r="D2" s="5" t="n">
        <v>780669.388889</v>
      </c>
      <c r="E2" s="5" t="n">
        <v>628086.666667</v>
      </c>
      <c r="F2" s="6" t="n">
        <f aca="false">E2</f>
        <v>628086.666667</v>
      </c>
      <c r="H2" s="7" t="n">
        <f aca="false">IFERROR((F2/B2)^(1/(40-26))-1,"")</f>
        <v>-0.0464606933408879</v>
      </c>
    </row>
    <row r="3" customFormat="false" ht="15" hidden="false" customHeight="false" outlineLevel="0" collapsed="false">
      <c r="A3" s="4" t="s">
        <v>3</v>
      </c>
      <c r="B3" s="5" t="n">
        <v>1796113.027778</v>
      </c>
      <c r="C3" s="5" t="n">
        <v>2509803.361111</v>
      </c>
      <c r="D3" s="5" t="n">
        <v>3640635.055556</v>
      </c>
      <c r="E3" s="5" t="n">
        <v>3544260.194444</v>
      </c>
      <c r="F3" s="6" t="n">
        <f aca="false">E3+E4</f>
        <v>3544260.194444</v>
      </c>
      <c r="H3" s="7" t="n">
        <f aca="false">IFERROR((F3/B3)^(1/(40-26))-1,"")</f>
        <v>0.0497481988729858</v>
      </c>
    </row>
    <row r="4" customFormat="false" ht="15" hidden="false" customHeight="false" outlineLevel="0" collapsed="false">
      <c r="A4" s="4" t="s">
        <v>4</v>
      </c>
      <c r="B4" s="5" t="n">
        <v>17.5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26041.777778</v>
      </c>
      <c r="C5" s="5" t="n">
        <v>50020.472222</v>
      </c>
      <c r="D5" s="5" t="n">
        <v>124738.444444</v>
      </c>
      <c r="E5" s="5" t="n">
        <v>196548.111111</v>
      </c>
      <c r="F5" s="6" t="n">
        <f aca="false">E5</f>
        <v>196548.111111</v>
      </c>
      <c r="H5" s="7"/>
    </row>
    <row r="6" customFormat="false" ht="15" hidden="false" customHeight="false" outlineLevel="0" collapsed="false">
      <c r="A6" s="4" t="s">
        <v>6</v>
      </c>
      <c r="B6" s="5" t="n">
        <v>908482.5</v>
      </c>
      <c r="C6" s="5" t="n">
        <v>931938.138889</v>
      </c>
      <c r="D6" s="5" t="n">
        <v>968254.222222</v>
      </c>
      <c r="E6" s="5" t="n">
        <v>1307509.861111</v>
      </c>
      <c r="F6" s="6" t="n">
        <f aca="false">E6</f>
        <v>1307509.861111</v>
      </c>
      <c r="H6" s="7" t="n">
        <f aca="false">IFERROR((F6/B6)^(1/(40-26))-1,"")</f>
        <v>0.026348581013792</v>
      </c>
    </row>
    <row r="7" customFormat="false" ht="15" hidden="false" customHeight="false" outlineLevel="0" collapsed="false">
      <c r="A7" s="4" t="s">
        <v>7</v>
      </c>
      <c r="B7" s="5" t="n">
        <v>464174.472222</v>
      </c>
      <c r="C7" s="5" t="n">
        <v>492949.666667</v>
      </c>
      <c r="D7" s="5" t="n">
        <v>561105.416667</v>
      </c>
      <c r="E7" s="5" t="n">
        <v>614198.472222</v>
      </c>
      <c r="F7" s="6" t="n">
        <f aca="false">E7</f>
        <v>614198.472222</v>
      </c>
      <c r="H7" s="7" t="n">
        <f aca="false">IFERROR((F7/B7)^(1/(40-26))-1,"")</f>
        <v>0.0202055389878653</v>
      </c>
    </row>
    <row r="8" customFormat="false" ht="15" hidden="false" customHeight="false" outlineLevel="0" collapsed="false">
      <c r="A8" s="4" t="s">
        <v>8</v>
      </c>
      <c r="B8" s="5" t="n">
        <v>17040.972222</v>
      </c>
      <c r="C8" s="5" t="n">
        <v>24248.5</v>
      </c>
      <c r="D8" s="5" t="n">
        <v>21221.861111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200827.805556</v>
      </c>
      <c r="C9" s="5" t="n">
        <v>459021.25</v>
      </c>
      <c r="D9" s="5" t="n">
        <v>584848.166667</v>
      </c>
      <c r="E9" s="5" t="n">
        <v>1121844.777778</v>
      </c>
      <c r="F9" s="6" t="n">
        <f aca="false">E9</f>
        <v>1121844.777778</v>
      </c>
      <c r="H9" s="7" t="n">
        <f aca="false">IFERROR((F9/B9)^(1/(40-26))-1,"")</f>
        <v>0.130745644109735</v>
      </c>
    </row>
    <row r="10" customFormat="false" ht="15" hidden="false" customHeight="false" outlineLevel="0" collapsed="false">
      <c r="A10" s="4" t="s">
        <v>10</v>
      </c>
      <c r="B10" s="5" t="n">
        <v>257132.472222</v>
      </c>
      <c r="C10" s="5" t="n">
        <v>348104.944444</v>
      </c>
      <c r="D10" s="5" t="n">
        <v>570244.277778</v>
      </c>
      <c r="E10" s="5" t="n">
        <v>1017013.722222</v>
      </c>
      <c r="F10" s="6" t="n">
        <f aca="false">E10</f>
        <v>1017013.722222</v>
      </c>
      <c r="H10" s="7" t="n">
        <f aca="false">IFERROR((F10/B10)^(1/(40-26))-1,"")</f>
        <v>0.103201876673535</v>
      </c>
    </row>
    <row r="11" customFormat="false" ht="15" hidden="false" customHeight="false" outlineLevel="0" collapsed="false">
      <c r="A11" s="4" t="s">
        <v>11</v>
      </c>
      <c r="B11" s="5" t="n">
        <v>2539.694444</v>
      </c>
      <c r="C11" s="5" t="n">
        <v>88177.972222</v>
      </c>
      <c r="D11" s="5" t="n">
        <v>187299.944444</v>
      </c>
      <c r="E11" s="5" t="n">
        <v>322758.861111</v>
      </c>
      <c r="F11" s="6" t="n">
        <f aca="false">E11</f>
        <v>322758.861111</v>
      </c>
      <c r="H11" s="7" t="n">
        <f aca="false">IFERROR((F11/B11)^(1/(40-26))-1,"")</f>
        <v>0.413489614256306</v>
      </c>
    </row>
    <row r="12" customFormat="false" ht="15" hidden="false" customHeight="false" outlineLevel="0" collapsed="false">
      <c r="A12" s="4" t="s">
        <v>12</v>
      </c>
      <c r="B12" s="5" t="n">
        <v>495.416667</v>
      </c>
      <c r="C12" s="5" t="n">
        <v>1160.305556</v>
      </c>
      <c r="D12" s="5" t="n">
        <v>1734.833333</v>
      </c>
      <c r="E12" s="5" t="n">
        <v>3825.527778</v>
      </c>
      <c r="F12" s="6" t="n">
        <f aca="false">E12</f>
        <v>3825.527778</v>
      </c>
      <c r="H12" s="7" t="n">
        <f aca="false">IFERROR((F12/B12)^(1/(40-26))-1,"")</f>
        <v>0.157200532331221</v>
      </c>
    </row>
    <row r="13" customFormat="false" ht="15" hidden="false" customHeight="false" outlineLevel="0" collapsed="false">
      <c r="A13" s="4" t="s">
        <v>13</v>
      </c>
      <c r="B13" s="5" t="n">
        <v>24863.277778</v>
      </c>
      <c r="C13" s="5" t="n">
        <v>40314.416667</v>
      </c>
      <c r="D13" s="5" t="n">
        <v>45472.861111</v>
      </c>
      <c r="E13" s="5" t="n">
        <v>121542.055556</v>
      </c>
      <c r="F13" s="6" t="n">
        <f aca="false">E13</f>
        <v>121542.055556</v>
      </c>
      <c r="H13" s="7" t="n">
        <f aca="false">IFERROR((F13/B13)^(1/(40-26))-1,"")</f>
        <v>0.120021345642314</v>
      </c>
    </row>
    <row r="14" customFormat="false" ht="15" hidden="false" customHeight="false" outlineLevel="0" collapsed="false">
      <c r="A14" s="4" t="s">
        <v>14</v>
      </c>
      <c r="B14" s="5" t="n">
        <v>5331.527778</v>
      </c>
      <c r="C14" s="5" t="n">
        <v>3274</v>
      </c>
      <c r="D14" s="5" t="n">
        <v>3564.527778</v>
      </c>
      <c r="E14" s="5" t="n">
        <v>4775.111111</v>
      </c>
      <c r="F14" s="6" t="n">
        <f aca="false">E14</f>
        <v>4775.111111</v>
      </c>
      <c r="H14" s="7" t="n">
        <f aca="false">IFERROR((F14/B14)^(1/(40-26))-1,"")</f>
        <v>-0.00784198930142765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1200902.555556</v>
      </c>
      <c r="C2" s="5" t="n">
        <v>936696.861111</v>
      </c>
      <c r="D2" s="5" t="n">
        <v>769947.138889</v>
      </c>
      <c r="E2" s="5" t="n">
        <v>620098.611111</v>
      </c>
      <c r="F2" s="6" t="n">
        <f aca="false">E2</f>
        <v>620098.611111</v>
      </c>
      <c r="H2" s="7" t="n">
        <f aca="false">IFERROR((F2/B2)^(1/(40-26))-1,"")</f>
        <v>-0.0461136324618016</v>
      </c>
    </row>
    <row r="3" customFormat="false" ht="15" hidden="false" customHeight="false" outlineLevel="0" collapsed="false">
      <c r="A3" s="4" t="s">
        <v>3</v>
      </c>
      <c r="B3" s="5" t="n">
        <v>1675556.5</v>
      </c>
      <c r="C3" s="5" t="n">
        <v>2383261.888889</v>
      </c>
      <c r="D3" s="5" t="n">
        <v>3506982.444444</v>
      </c>
      <c r="E3" s="5" t="n">
        <v>3497476.944444</v>
      </c>
      <c r="F3" s="6" t="n">
        <f aca="false">E3+E4</f>
        <v>3497476.944444</v>
      </c>
      <c r="H3" s="7" t="n">
        <f aca="false">IFERROR((F3/B3)^(1/(40-26))-1,"")</f>
        <v>0.0539700506355596</v>
      </c>
    </row>
    <row r="4" customFormat="false" ht="15" hidden="false" customHeight="false" outlineLevel="0" collapsed="false">
      <c r="A4" s="4" t="s">
        <v>4</v>
      </c>
      <c r="B4" s="5" t="n">
        <v>17.5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26041.777778</v>
      </c>
      <c r="C5" s="5" t="n">
        <v>50020.472222</v>
      </c>
      <c r="D5" s="5" t="n">
        <v>124738.444444</v>
      </c>
      <c r="E5" s="5" t="n">
        <v>196548.111111</v>
      </c>
      <c r="F5" s="6" t="n">
        <f aca="false">E5</f>
        <v>196548.111111</v>
      </c>
      <c r="H5" s="7"/>
    </row>
    <row r="6" customFormat="false" ht="15" hidden="false" customHeight="false" outlineLevel="0" collapsed="false">
      <c r="A6" s="4" t="s">
        <v>6</v>
      </c>
      <c r="B6" s="5" t="n">
        <v>813876.138889</v>
      </c>
      <c r="C6" s="5" t="n">
        <v>837331.777778</v>
      </c>
      <c r="D6" s="5" t="n">
        <v>855855.25</v>
      </c>
      <c r="E6" s="5" t="n">
        <v>1179371.111111</v>
      </c>
      <c r="F6" s="6" t="n">
        <f aca="false">E6</f>
        <v>1179371.111111</v>
      </c>
      <c r="H6" s="7" t="n">
        <f aca="false">IFERROR((F6/B6)^(1/(40-26))-1,"")</f>
        <v>0.0268489976884811</v>
      </c>
    </row>
    <row r="7" customFormat="false" ht="15" hidden="false" customHeight="false" outlineLevel="0" collapsed="false">
      <c r="A7" s="4" t="s">
        <v>7</v>
      </c>
      <c r="B7" s="5" t="n">
        <v>240496</v>
      </c>
      <c r="C7" s="5" t="n">
        <v>264106.916667</v>
      </c>
      <c r="D7" s="5" t="n">
        <v>301662.361111</v>
      </c>
      <c r="E7" s="5" t="n">
        <v>335414.388889</v>
      </c>
      <c r="F7" s="6" t="n">
        <f aca="false">E7</f>
        <v>335414.388889</v>
      </c>
      <c r="H7" s="7" t="n">
        <f aca="false">IFERROR((F7/B7)^(1/(40-26))-1,"")</f>
        <v>0.0240462214129429</v>
      </c>
    </row>
    <row r="8" customFormat="false" ht="15" hidden="false" customHeight="false" outlineLevel="0" collapsed="false">
      <c r="A8" s="4" t="s">
        <v>8</v>
      </c>
      <c r="B8" s="5" t="n">
        <v>3.222222</v>
      </c>
      <c r="C8" s="5" t="n">
        <v>3.944444</v>
      </c>
      <c r="D8" s="5" t="n">
        <v>7.888889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192753.166667</v>
      </c>
      <c r="C9" s="5" t="n">
        <v>442866.805556</v>
      </c>
      <c r="D9" s="5" t="n">
        <v>566320.25</v>
      </c>
      <c r="E9" s="5" t="n">
        <v>1061993.805556</v>
      </c>
      <c r="F9" s="6" t="n">
        <f aca="false">E9</f>
        <v>1061993.805556</v>
      </c>
      <c r="H9" s="7" t="n">
        <f aca="false">IFERROR((F9/B9)^(1/(40-26))-1,"")</f>
        <v>0.129632492539004</v>
      </c>
    </row>
    <row r="10" customFormat="false" ht="15" hidden="false" customHeight="false" outlineLevel="0" collapsed="false">
      <c r="A10" s="4" t="s">
        <v>10</v>
      </c>
      <c r="B10" s="5" t="n">
        <v>226116.888889</v>
      </c>
      <c r="C10" s="5" t="n">
        <v>294276.5</v>
      </c>
      <c r="D10" s="5" t="n">
        <v>429679.416667</v>
      </c>
      <c r="E10" s="5" t="n">
        <v>759220.694444</v>
      </c>
      <c r="F10" s="6" t="n">
        <f aca="false">E10</f>
        <v>759220.694444</v>
      </c>
      <c r="H10" s="7" t="n">
        <f aca="false">IFERROR((F10/B10)^(1/(40-26))-1,"")</f>
        <v>0.0903700932698919</v>
      </c>
    </row>
    <row r="11" customFormat="false" ht="15" hidden="false" customHeight="false" outlineLevel="0" collapsed="false">
      <c r="A11" s="4" t="s">
        <v>11</v>
      </c>
      <c r="B11" s="5" t="n">
        <v>2539.694444</v>
      </c>
      <c r="C11" s="5" t="n">
        <v>19151.111111</v>
      </c>
      <c r="D11" s="5" t="n">
        <v>31859.305556</v>
      </c>
      <c r="E11" s="5" t="n">
        <v>96584.833333</v>
      </c>
      <c r="F11" s="6" t="n">
        <f aca="false">E11</f>
        <v>96584.833333</v>
      </c>
      <c r="H11" s="7" t="n">
        <f aca="false">IFERROR((F11/B11)^(1/(40-26))-1,"")</f>
        <v>0.296779831929618</v>
      </c>
    </row>
    <row r="12" customFormat="false" ht="15" hidden="false" customHeight="false" outlineLevel="0" collapsed="false">
      <c r="A12" s="4" t="s">
        <v>12</v>
      </c>
      <c r="B12" s="5" t="n">
        <v>450.722222</v>
      </c>
      <c r="C12" s="5" t="n">
        <v>1087.805556</v>
      </c>
      <c r="D12" s="5" t="n">
        <v>1643.638889</v>
      </c>
      <c r="E12" s="5" t="n">
        <v>3726.916667</v>
      </c>
      <c r="F12" s="6" t="n">
        <f aca="false">E12</f>
        <v>3726.916667</v>
      </c>
      <c r="H12" s="7" t="n">
        <f aca="false">IFERROR((F12/B12)^(1/(40-26))-1,"")</f>
        <v>0.162870837451619</v>
      </c>
    </row>
    <row r="13" customFormat="false" ht="15" hidden="false" customHeight="false" outlineLevel="0" collapsed="false">
      <c r="A13" s="4" t="s">
        <v>13</v>
      </c>
      <c r="B13" s="5" t="n">
        <v>24863.277778</v>
      </c>
      <c r="C13" s="5" t="n">
        <v>40314.416667</v>
      </c>
      <c r="D13" s="5" t="n">
        <v>45472.861111</v>
      </c>
      <c r="E13" s="5" t="n">
        <v>121394.166667</v>
      </c>
      <c r="F13" s="6" t="n">
        <f aca="false">E13</f>
        <v>121394.166667</v>
      </c>
      <c r="H13" s="7" t="n">
        <f aca="false">IFERROR((F13/B13)^(1/(40-26))-1,"")</f>
        <v>0.119923947045138</v>
      </c>
    </row>
    <row r="14" customFormat="false" ht="15" hidden="false" customHeight="false" outlineLevel="0" collapsed="false">
      <c r="A14" s="4" t="s">
        <v>14</v>
      </c>
      <c r="B14" s="5" t="n">
        <v>5284.555556</v>
      </c>
      <c r="C14" s="5" t="n">
        <v>3227.027778</v>
      </c>
      <c r="D14" s="5" t="n">
        <v>3517.555556</v>
      </c>
      <c r="E14" s="5" t="n">
        <v>4740.833333</v>
      </c>
      <c r="F14" s="6" t="n">
        <f aca="false">E14</f>
        <v>4740.833333</v>
      </c>
      <c r="H14" s="7" t="n">
        <f aca="false">IFERROR((F14/B14)^(1/(40-26))-1,"")</f>
        <v>-0.00772540387672061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8009.722222</v>
      </c>
      <c r="C2" s="5" t="n">
        <v>6262.138889</v>
      </c>
      <c r="D2" s="5" t="n">
        <v>5219.416667</v>
      </c>
      <c r="E2" s="5" t="n">
        <v>4145.638889</v>
      </c>
      <c r="F2" s="6" t="n">
        <f aca="false">E2</f>
        <v>4145.638889</v>
      </c>
      <c r="H2" s="7" t="n">
        <f aca="false">IFERROR((F2/B2)^(1/(40-26))-1,"")</f>
        <v>-0.0459534344324539</v>
      </c>
    </row>
    <row r="3" customFormat="false" ht="15" hidden="false" customHeight="false" outlineLevel="0" collapsed="false">
      <c r="A3" s="4" t="s">
        <v>3</v>
      </c>
      <c r="B3" s="5" t="n">
        <v>139799.055556</v>
      </c>
      <c r="C3" s="5" t="n">
        <v>143592.416667</v>
      </c>
      <c r="D3" s="5" t="n">
        <v>176618.5</v>
      </c>
      <c r="E3" s="5" t="n">
        <v>207986.75</v>
      </c>
      <c r="F3" s="6" t="n">
        <f aca="false">E3+E4</f>
        <v>207986.75</v>
      </c>
      <c r="H3" s="7" t="n">
        <f aca="false">IFERROR((F3/B3)^(1/(40-26))-1,"")</f>
        <v>0.0287827500077229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13768.166667</v>
      </c>
      <c r="C5" s="5" t="n">
        <v>9834.5</v>
      </c>
      <c r="D5" s="5" t="n">
        <v>4917.25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17032.527778</v>
      </c>
      <c r="C6" s="5" t="n">
        <v>17032.527778</v>
      </c>
      <c r="D6" s="5" t="n">
        <v>17032.527778</v>
      </c>
      <c r="E6" s="5" t="n">
        <v>18735.777778</v>
      </c>
      <c r="F6" s="6" t="n">
        <f aca="false">E6</f>
        <v>18735.777778</v>
      </c>
      <c r="H6" s="7" t="n">
        <f aca="false">IFERROR((F6/B6)^(1/(40-26))-1,"")</f>
        <v>0.00683108554754952</v>
      </c>
    </row>
    <row r="7" customFormat="false" ht="15" hidden="false" customHeight="false" outlineLevel="0" collapsed="false">
      <c r="A7" s="4" t="s">
        <v>7</v>
      </c>
      <c r="B7" s="5" t="n">
        <v>37301.527778</v>
      </c>
      <c r="C7" s="5" t="n">
        <v>42802.611111</v>
      </c>
      <c r="D7" s="5" t="n">
        <v>46734.083333</v>
      </c>
      <c r="E7" s="5" t="n">
        <v>52863.111111</v>
      </c>
      <c r="F7" s="6" t="n">
        <f aca="false">E7</f>
        <v>52863.111111</v>
      </c>
      <c r="H7" s="7" t="n">
        <f aca="false">IFERROR((F7/B7)^(1/(40-26))-1,"")</f>
        <v>0.0252178284565403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46448.083333</v>
      </c>
      <c r="C9" s="5" t="n">
        <v>62700.25</v>
      </c>
      <c r="D9" s="5" t="n">
        <v>77962.25</v>
      </c>
      <c r="E9" s="5" t="n">
        <v>109417.638889</v>
      </c>
      <c r="F9" s="6" t="n">
        <f aca="false">E9</f>
        <v>109417.638889</v>
      </c>
      <c r="H9" s="7" t="n">
        <f aca="false">IFERROR((F9/B9)^(1/(40-26))-1,"")</f>
        <v>0.0631143179433034</v>
      </c>
    </row>
    <row r="10" customFormat="false" ht="15" hidden="false" customHeight="false" outlineLevel="0" collapsed="false">
      <c r="A10" s="4" t="s">
        <v>10</v>
      </c>
      <c r="B10" s="5" t="n">
        <v>228.555556</v>
      </c>
      <c r="C10" s="5" t="n">
        <v>1302.083333</v>
      </c>
      <c r="D10" s="5" t="n">
        <v>1549.833333</v>
      </c>
      <c r="E10" s="5" t="n">
        <v>277.194444</v>
      </c>
      <c r="F10" s="6" t="n">
        <f aca="false">E10</f>
        <v>277.194444</v>
      </c>
      <c r="H10" s="7" t="n">
        <f aca="false">IFERROR((F10/B10)^(1/(40-26))-1,"")</f>
        <v>0.0138768236619566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209.027778</v>
      </c>
      <c r="C12" s="5" t="n">
        <v>386.166667</v>
      </c>
      <c r="D12" s="5" t="n">
        <v>485.277778</v>
      </c>
      <c r="E12" s="5" t="n">
        <v>835.25</v>
      </c>
      <c r="F12" s="6" t="n">
        <f aca="false">E12</f>
        <v>835.25</v>
      </c>
      <c r="H12" s="7" t="n">
        <f aca="false">IFERROR((F12/B12)^(1/(40-26))-1,"")</f>
        <v>0.104008253144043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116.194444</v>
      </c>
      <c r="F13" s="6" t="n">
        <f aca="false">E13</f>
        <v>116.194444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720</v>
      </c>
      <c r="C14" s="5" t="n">
        <v>720</v>
      </c>
      <c r="D14" s="5" t="n">
        <v>720</v>
      </c>
      <c r="E14" s="5" t="n">
        <v>990</v>
      </c>
      <c r="F14" s="6" t="n">
        <f aca="false">E14</f>
        <v>990</v>
      </c>
      <c r="H14" s="7" t="n">
        <f aca="false">IFERROR((F14/B14)^(1/(40-26))-1,"")</f>
        <v>0.0230073739235213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92039</v>
      </c>
      <c r="C2" s="5" t="n">
        <v>69767.194444</v>
      </c>
      <c r="D2" s="5" t="n">
        <v>58152.472222</v>
      </c>
      <c r="E2" s="5" t="n">
        <v>46177.722222</v>
      </c>
      <c r="F2" s="6" t="n">
        <f aca="false">E2</f>
        <v>46177.722222</v>
      </c>
      <c r="H2" s="7" t="n">
        <f aca="false">IFERROR((F2/B2)^(1/(40-26))-1,"")</f>
        <v>-0.0480714995047897</v>
      </c>
    </row>
    <row r="3" customFormat="false" ht="15" hidden="false" customHeight="false" outlineLevel="0" collapsed="false">
      <c r="A3" s="4" t="s">
        <v>3</v>
      </c>
      <c r="B3" s="5" t="n">
        <v>280551.305556</v>
      </c>
      <c r="C3" s="5" t="n">
        <v>422320.388889</v>
      </c>
      <c r="D3" s="5" t="n">
        <v>602753.583333</v>
      </c>
      <c r="E3" s="5" t="n">
        <v>526623.027778</v>
      </c>
      <c r="F3" s="6" t="n">
        <f aca="false">E3+E4</f>
        <v>526623.027778</v>
      </c>
      <c r="H3" s="7" t="n">
        <f aca="false">IFERROR((F3/B3)^(1/(40-26))-1,"")</f>
        <v>0.0460075641410174</v>
      </c>
    </row>
    <row r="4" customFormat="false" ht="15" hidden="false" customHeight="false" outlineLevel="0" collapsed="false">
      <c r="A4" s="4" t="s">
        <v>4</v>
      </c>
      <c r="B4" s="5" t="n">
        <v>17.5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2951.833333</v>
      </c>
      <c r="C5" s="5" t="n">
        <v>33431.916667</v>
      </c>
      <c r="D5" s="5" t="n">
        <v>116401.555556</v>
      </c>
      <c r="E5" s="5" t="n">
        <v>149415.194444</v>
      </c>
      <c r="F5" s="6" t="n">
        <f aca="false">E5</f>
        <v>149415.194444</v>
      </c>
      <c r="H5" s="7"/>
    </row>
    <row r="6" customFormat="false" ht="15" hidden="false" customHeight="false" outlineLevel="0" collapsed="false">
      <c r="A6" s="4" t="s">
        <v>6</v>
      </c>
      <c r="B6" s="5" t="n">
        <v>41451.861111</v>
      </c>
      <c r="C6" s="5" t="n">
        <v>41484.833333</v>
      </c>
      <c r="D6" s="5" t="n">
        <v>41492.166667</v>
      </c>
      <c r="E6" s="5" t="n">
        <v>97883.527778</v>
      </c>
      <c r="F6" s="6" t="n">
        <f aca="false">E6</f>
        <v>97883.527778</v>
      </c>
      <c r="H6" s="7" t="n">
        <f aca="false">IFERROR((F6/B6)^(1/(40-26))-1,"")</f>
        <v>0.0632972341799805</v>
      </c>
    </row>
    <row r="7" customFormat="false" ht="15" hidden="false" customHeight="false" outlineLevel="0" collapsed="false">
      <c r="A7" s="4" t="s">
        <v>7</v>
      </c>
      <c r="B7" s="5" t="n">
        <v>768.333333</v>
      </c>
      <c r="C7" s="5" t="n">
        <v>1883.833333</v>
      </c>
      <c r="D7" s="5" t="n">
        <v>1883.833333</v>
      </c>
      <c r="E7" s="5" t="n">
        <v>1883.833333</v>
      </c>
      <c r="F7" s="6" t="n">
        <f aca="false">E7</f>
        <v>1883.833333</v>
      </c>
      <c r="H7" s="7" t="n">
        <f aca="false">IFERROR((F7/B7)^(1/(40-26))-1,"")</f>
        <v>0.0661563906285214</v>
      </c>
    </row>
    <row r="8" customFormat="false" ht="15" hidden="false" customHeight="false" outlineLevel="0" collapsed="false">
      <c r="A8" s="4" t="s">
        <v>8</v>
      </c>
      <c r="B8" s="5" t="n">
        <v>3.222222</v>
      </c>
      <c r="C8" s="5" t="n">
        <v>3.944444</v>
      </c>
      <c r="D8" s="5" t="n">
        <v>7.888889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53351.833333</v>
      </c>
      <c r="C9" s="5" t="n">
        <v>126294.944444</v>
      </c>
      <c r="D9" s="5" t="n">
        <v>153276.277778</v>
      </c>
      <c r="E9" s="5" t="n">
        <v>334124.611111</v>
      </c>
      <c r="F9" s="6" t="n">
        <f aca="false">E9</f>
        <v>334124.611111</v>
      </c>
      <c r="H9" s="7" t="n">
        <f aca="false">IFERROR((F9/B9)^(1/(40-26))-1,"")</f>
        <v>0.140017099758052</v>
      </c>
    </row>
    <row r="10" customFormat="false" ht="15" hidden="false" customHeight="false" outlineLevel="0" collapsed="false">
      <c r="A10" s="4" t="s">
        <v>10</v>
      </c>
      <c r="B10" s="5" t="n">
        <v>84197.388889</v>
      </c>
      <c r="C10" s="5" t="n">
        <v>92276.861111</v>
      </c>
      <c r="D10" s="5" t="n">
        <v>129510.694444</v>
      </c>
      <c r="E10" s="5" t="n">
        <v>238793.111111</v>
      </c>
      <c r="F10" s="6" t="n">
        <f aca="false">E10</f>
        <v>238793.111111</v>
      </c>
      <c r="H10" s="7" t="n">
        <f aca="false">IFERROR((F10/B10)^(1/(40-26))-1,"")</f>
        <v>0.077301759875513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10.916667</v>
      </c>
      <c r="C12" s="5" t="n">
        <v>18.916667</v>
      </c>
      <c r="D12" s="5" t="n">
        <v>18.916667</v>
      </c>
      <c r="E12" s="5" t="n">
        <v>802.416667</v>
      </c>
      <c r="F12" s="6" t="n">
        <f aca="false">E12</f>
        <v>802.416667</v>
      </c>
      <c r="H12" s="7" t="n">
        <f aca="false">IFERROR((F12/B12)^(1/(40-26))-1,"")</f>
        <v>0.359276624599808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443.638889</v>
      </c>
      <c r="F13" s="6" t="n">
        <f aca="false">E13</f>
        <v>443.638889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0</v>
      </c>
      <c r="C14" s="5" t="n">
        <v>0</v>
      </c>
      <c r="D14" s="5" t="n">
        <v>0</v>
      </c>
      <c r="E14" s="5" t="n">
        <v>0</v>
      </c>
      <c r="F14" s="6" t="n">
        <f aca="false">E14</f>
        <v>0</v>
      </c>
      <c r="H14" s="7" t="str">
        <f aca="false">IFERROR((F14/B14)^(1/(40-26))-1,"")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282960.972222</v>
      </c>
      <c r="C2" s="5" t="n">
        <v>221224.027778</v>
      </c>
      <c r="D2" s="5" t="n">
        <v>184387.638889</v>
      </c>
      <c r="E2" s="5" t="n">
        <v>146453.722222</v>
      </c>
      <c r="F2" s="6" t="n">
        <f aca="false">E2</f>
        <v>146453.722222</v>
      </c>
      <c r="H2" s="7" t="n">
        <f aca="false">IFERROR((F2/B2)^(1/(40-26))-1,"")</f>
        <v>-0.0459534563414399</v>
      </c>
    </row>
    <row r="3" customFormat="false" ht="15" hidden="false" customHeight="false" outlineLevel="0" collapsed="false">
      <c r="A3" s="4" t="s">
        <v>3</v>
      </c>
      <c r="B3" s="5" t="n">
        <v>78116.277778</v>
      </c>
      <c r="C3" s="5" t="n">
        <v>199795.777778</v>
      </c>
      <c r="D3" s="5" t="n">
        <v>403030.388889</v>
      </c>
      <c r="E3" s="5" t="n">
        <v>505474.583333</v>
      </c>
      <c r="F3" s="6" t="n">
        <f aca="false">E3+E4</f>
        <v>505474.583333</v>
      </c>
      <c r="H3" s="7" t="n">
        <f aca="false">IFERROR((F3/B3)^(1/(40-26))-1,"")</f>
        <v>0.142682446236618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107.916667</v>
      </c>
      <c r="C5" s="5" t="n">
        <v>77.25</v>
      </c>
      <c r="D5" s="5" t="n">
        <v>49.666667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98953.555556</v>
      </c>
      <c r="C6" s="5" t="n">
        <v>105501</v>
      </c>
      <c r="D6" s="5" t="n">
        <v>105501</v>
      </c>
      <c r="E6" s="5" t="n">
        <v>138440.194444</v>
      </c>
      <c r="F6" s="6" t="n">
        <f aca="false">E6</f>
        <v>138440.194444</v>
      </c>
      <c r="H6" s="7" t="n">
        <f aca="false">IFERROR((F6/B6)^(1/(40-26))-1,"")</f>
        <v>0.0242747940869434</v>
      </c>
    </row>
    <row r="7" customFormat="false" ht="15" hidden="false" customHeight="false" outlineLevel="0" collapsed="false">
      <c r="A7" s="4" t="s">
        <v>7</v>
      </c>
      <c r="B7" s="5" t="n">
        <v>6095.972222</v>
      </c>
      <c r="C7" s="5" t="n">
        <v>6398.861111</v>
      </c>
      <c r="D7" s="5" t="n">
        <v>6783.527778</v>
      </c>
      <c r="E7" s="5" t="n">
        <v>6783.527778</v>
      </c>
      <c r="F7" s="6" t="n">
        <f aca="false">E7</f>
        <v>6783.527778</v>
      </c>
      <c r="H7" s="7" t="n">
        <f aca="false">IFERROR((F7/B7)^(1/(40-26))-1,"")</f>
        <v>0.00766271132700935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15186.944444</v>
      </c>
      <c r="C9" s="5" t="n">
        <v>40679.222222</v>
      </c>
      <c r="D9" s="5" t="n">
        <v>39522.055556</v>
      </c>
      <c r="E9" s="5" t="n">
        <v>97251.444444</v>
      </c>
      <c r="F9" s="6" t="n">
        <f aca="false">E9</f>
        <v>97251.444444</v>
      </c>
      <c r="H9" s="7" t="n">
        <f aca="false">IFERROR((F9/B9)^(1/(40-26))-1,"")</f>
        <v>0.141831007712547</v>
      </c>
    </row>
    <row r="10" customFormat="false" ht="15" hidden="false" customHeight="false" outlineLevel="0" collapsed="false">
      <c r="A10" s="4" t="s">
        <v>10</v>
      </c>
      <c r="B10" s="5" t="n">
        <v>23297.5</v>
      </c>
      <c r="C10" s="5" t="n">
        <v>52568.361111</v>
      </c>
      <c r="D10" s="5" t="n">
        <v>75801.527778</v>
      </c>
      <c r="E10" s="5" t="n">
        <v>118069.75</v>
      </c>
      <c r="F10" s="6" t="n">
        <f aca="false">E10</f>
        <v>118069.75</v>
      </c>
      <c r="H10" s="7" t="n">
        <f aca="false">IFERROR((F10/B10)^(1/(40-26))-1,"")</f>
        <v>0.12291000576551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956.027778</v>
      </c>
      <c r="E11" s="5" t="n">
        <v>7409.138889</v>
      </c>
      <c r="F11" s="6" t="n">
        <f aca="false">E11</f>
        <v>7409.138889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28.138889</v>
      </c>
      <c r="C12" s="5" t="n">
        <v>30.083333</v>
      </c>
      <c r="D12" s="5" t="n">
        <v>206.444444</v>
      </c>
      <c r="E12" s="5" t="n">
        <v>258.472222</v>
      </c>
      <c r="F12" s="6" t="n">
        <f aca="false">E12</f>
        <v>258.472222</v>
      </c>
      <c r="H12" s="7" t="n">
        <f aca="false">IFERROR((F12/B12)^(1/(40-26))-1,"")</f>
        <v>0.171637739217851</v>
      </c>
    </row>
    <row r="13" customFormat="false" ht="15" hidden="false" customHeight="false" outlineLevel="0" collapsed="false">
      <c r="A13" s="4" t="s">
        <v>13</v>
      </c>
      <c r="B13" s="5" t="n">
        <v>24.722222</v>
      </c>
      <c r="C13" s="5" t="n">
        <v>6.305556</v>
      </c>
      <c r="D13" s="5" t="n">
        <v>8.416667</v>
      </c>
      <c r="E13" s="5" t="n">
        <v>221.805556</v>
      </c>
      <c r="F13" s="6" t="n">
        <f aca="false">E13</f>
        <v>221.805556</v>
      </c>
      <c r="H13" s="7" t="n">
        <f aca="false">IFERROR((F13/B13)^(1/(40-26))-1,"")</f>
        <v>0.169669615722035</v>
      </c>
    </row>
    <row r="14" customFormat="false" ht="15" hidden="false" customHeight="false" outlineLevel="0" collapsed="false">
      <c r="A14" s="4" t="s">
        <v>14</v>
      </c>
      <c r="B14" s="5" t="n">
        <v>702</v>
      </c>
      <c r="C14" s="5" t="n">
        <v>175.5</v>
      </c>
      <c r="D14" s="5" t="n">
        <v>234</v>
      </c>
      <c r="E14" s="5" t="n">
        <v>511.972222</v>
      </c>
      <c r="F14" s="6" t="n">
        <f aca="false">E14</f>
        <v>511.972222</v>
      </c>
      <c r="H14" s="7" t="n">
        <f aca="false">IFERROR((F14/B14)^(1/(40-26))-1,"")</f>
        <v>-0.0222950676151696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2557.416667</v>
      </c>
      <c r="C2" s="5" t="n">
        <v>1999.444444</v>
      </c>
      <c r="D2" s="5" t="n">
        <v>1666.527778</v>
      </c>
      <c r="E2" s="5" t="n">
        <v>1323.666667</v>
      </c>
      <c r="F2" s="6" t="n">
        <f aca="false">E2</f>
        <v>1323.666667</v>
      </c>
      <c r="H2" s="7" t="n">
        <f aca="false">IFERROR((F2/B2)^(1/(40-26))-1,"")</f>
        <v>-0.0459529438343354</v>
      </c>
    </row>
    <row r="3" customFormat="false" ht="15" hidden="false" customHeight="false" outlineLevel="0" collapsed="false">
      <c r="A3" s="4" t="s">
        <v>3</v>
      </c>
      <c r="B3" s="5" t="n">
        <v>52520.777778</v>
      </c>
      <c r="C3" s="5" t="n">
        <v>67962.583333</v>
      </c>
      <c r="D3" s="5" t="n">
        <v>91101.916667</v>
      </c>
      <c r="E3" s="5" t="n">
        <v>82031.166667</v>
      </c>
      <c r="F3" s="6" t="n">
        <f aca="false">E3+E4</f>
        <v>82031.166667</v>
      </c>
      <c r="H3" s="7" t="n">
        <f aca="false">IFERROR((F3/B3)^(1/(40-26))-1,"")</f>
        <v>0.0323619312307601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28244</v>
      </c>
      <c r="C6" s="5" t="n">
        <v>28244</v>
      </c>
      <c r="D6" s="5" t="n">
        <v>28244</v>
      </c>
      <c r="E6" s="5" t="n">
        <v>32643.277778</v>
      </c>
      <c r="F6" s="6" t="n">
        <f aca="false">E6</f>
        <v>32643.277778</v>
      </c>
      <c r="H6" s="7" t="n">
        <f aca="false">IFERROR((F6/B6)^(1/(40-26))-1,"")</f>
        <v>0.0103934910791539</v>
      </c>
    </row>
    <row r="7" customFormat="false" ht="15" hidden="false" customHeight="false" outlineLevel="0" collapsed="false">
      <c r="A7" s="4" t="s">
        <v>7</v>
      </c>
      <c r="B7" s="5" t="n">
        <v>6129.611111</v>
      </c>
      <c r="C7" s="5" t="n">
        <v>6129.611111</v>
      </c>
      <c r="D7" s="5" t="n">
        <v>6443.722222</v>
      </c>
      <c r="E7" s="5" t="n">
        <v>6443.722222</v>
      </c>
      <c r="F7" s="6" t="n">
        <f aca="false">E7</f>
        <v>6443.722222</v>
      </c>
      <c r="H7" s="7" t="n">
        <f aca="false">IFERROR((F7/B7)^(1/(40-26))-1,"")</f>
        <v>0.00357602522475742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2443.222222</v>
      </c>
      <c r="C9" s="5" t="n">
        <v>1892.888889</v>
      </c>
      <c r="D9" s="5" t="n">
        <v>5459.638889</v>
      </c>
      <c r="E9" s="5" t="n">
        <v>7522.555556</v>
      </c>
      <c r="F9" s="6" t="n">
        <f aca="false">E9</f>
        <v>7522.555556</v>
      </c>
      <c r="H9" s="7" t="n">
        <f aca="false">IFERROR((F9/B9)^(1/(40-26))-1,"")</f>
        <v>0.0836421471872197</v>
      </c>
    </row>
    <row r="10" customFormat="false" ht="15" hidden="false" customHeight="false" outlineLevel="0" collapsed="false">
      <c r="A10" s="4" t="s">
        <v>10</v>
      </c>
      <c r="B10" s="5" t="n">
        <v>4580.305556</v>
      </c>
      <c r="C10" s="5" t="n">
        <v>5999.222222</v>
      </c>
      <c r="D10" s="5" t="n">
        <v>7585.527778</v>
      </c>
      <c r="E10" s="5" t="n">
        <v>8446.972222</v>
      </c>
      <c r="F10" s="6" t="n">
        <f aca="false">E10</f>
        <v>8446.972222</v>
      </c>
      <c r="H10" s="7" t="n">
        <f aca="false">IFERROR((F10/B10)^(1/(40-26))-1,"")</f>
        <v>0.0446869912521353</v>
      </c>
    </row>
    <row r="11" customFormat="false" ht="15" hidden="false" customHeight="false" outlineLevel="0" collapsed="false">
      <c r="A11" s="4" t="s">
        <v>11</v>
      </c>
      <c r="B11" s="5" t="n">
        <v>2539.694444</v>
      </c>
      <c r="C11" s="5" t="n">
        <v>5229.416667</v>
      </c>
      <c r="D11" s="5" t="n">
        <v>8595.416667</v>
      </c>
      <c r="E11" s="5" t="n">
        <v>27388.638889</v>
      </c>
      <c r="F11" s="6" t="n">
        <f aca="false">E11</f>
        <v>27388.638889</v>
      </c>
      <c r="H11" s="7" t="n">
        <f aca="false">IFERROR((F11/B11)^(1/(40-26))-1,"")</f>
        <v>0.185142688341007</v>
      </c>
    </row>
    <row r="12" customFormat="false" ht="15" hidden="false" customHeight="false" outlineLevel="0" collapsed="false">
      <c r="A12" s="4" t="s">
        <v>12</v>
      </c>
      <c r="B12" s="5" t="n">
        <v>22.277778</v>
      </c>
      <c r="C12" s="5" t="n">
        <v>110.972222</v>
      </c>
      <c r="D12" s="5" t="n">
        <v>116.527778</v>
      </c>
      <c r="E12" s="5" t="n">
        <v>128.694444</v>
      </c>
      <c r="F12" s="6" t="n">
        <f aca="false">E12</f>
        <v>128.694444</v>
      </c>
      <c r="H12" s="7" t="n">
        <f aca="false">IFERROR((F12/B12)^(1/(40-26))-1,"")</f>
        <v>0.133460214087628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0</v>
      </c>
      <c r="F13" s="6" t="n">
        <f aca="false">E13</f>
        <v>0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493.277778</v>
      </c>
      <c r="C14" s="5" t="n">
        <v>493.277778</v>
      </c>
      <c r="D14" s="5" t="n">
        <v>493.277778</v>
      </c>
      <c r="E14" s="5" t="n">
        <v>607.611111</v>
      </c>
      <c r="F14" s="6" t="n">
        <f aca="false">E14</f>
        <v>607.611111</v>
      </c>
      <c r="H14" s="7" t="n">
        <f aca="false">IFERROR((F14/B14)^(1/(40-26))-1,"")</f>
        <v>0.0150015966511401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0</v>
      </c>
      <c r="C2" s="5" t="n">
        <v>0</v>
      </c>
      <c r="D2" s="5" t="n">
        <v>0</v>
      </c>
      <c r="E2" s="5" t="n">
        <v>0</v>
      </c>
      <c r="F2" s="6" t="n">
        <f aca="false">E2</f>
        <v>0</v>
      </c>
      <c r="H2" s="7" t="str">
        <f aca="false">IFERROR((F2/B2)^(1/(40-26))-1,"")</f>
        <v/>
      </c>
    </row>
    <row r="3" customFormat="false" ht="15" hidden="false" customHeight="false" outlineLevel="0" collapsed="false">
      <c r="A3" s="4" t="s">
        <v>3</v>
      </c>
      <c r="B3" s="5" t="n">
        <v>129659.583333</v>
      </c>
      <c r="C3" s="5" t="n">
        <v>118526.75</v>
      </c>
      <c r="D3" s="5" t="n">
        <v>141801.25</v>
      </c>
      <c r="E3" s="5" t="n">
        <v>137904.944444</v>
      </c>
      <c r="F3" s="6" t="n">
        <f aca="false">E3+E4</f>
        <v>137904.944444</v>
      </c>
      <c r="H3" s="7" t="n">
        <f aca="false">IFERROR((F3/B3)^(1/(40-26))-1,"")</f>
        <v>0.00441344018288037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27409.222222</v>
      </c>
      <c r="C6" s="5" t="n">
        <v>27409.222222</v>
      </c>
      <c r="D6" s="5" t="n">
        <v>27409.222222</v>
      </c>
      <c r="E6" s="5" t="n">
        <v>31808.5</v>
      </c>
      <c r="F6" s="6" t="n">
        <f aca="false">E6</f>
        <v>31808.5</v>
      </c>
      <c r="H6" s="7" t="n">
        <f aca="false">IFERROR((F6/B6)^(1/(40-26))-1,"")</f>
        <v>0.0106891548196604</v>
      </c>
    </row>
    <row r="7" customFormat="false" ht="15" hidden="false" customHeight="false" outlineLevel="0" collapsed="false">
      <c r="A7" s="4" t="s">
        <v>7</v>
      </c>
      <c r="B7" s="5" t="n">
        <v>11041.805556</v>
      </c>
      <c r="C7" s="5" t="n">
        <v>11055.472222</v>
      </c>
      <c r="D7" s="5" t="n">
        <v>11055.472222</v>
      </c>
      <c r="E7" s="5" t="n">
        <v>11055.472222</v>
      </c>
      <c r="F7" s="6" t="n">
        <f aca="false">E7</f>
        <v>11055.472222</v>
      </c>
      <c r="H7" s="7" t="n">
        <f aca="false">IFERROR((F7/B7)^(1/(40-26))-1,"")</f>
        <v>8.83578230086446E-005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3662.055556</v>
      </c>
      <c r="C9" s="5" t="n">
        <v>9684.138889</v>
      </c>
      <c r="D9" s="5" t="n">
        <v>9202.916667</v>
      </c>
      <c r="E9" s="5" t="n">
        <v>14194.833333</v>
      </c>
      <c r="F9" s="6" t="n">
        <f aca="false">E9</f>
        <v>14194.833333</v>
      </c>
      <c r="H9" s="7" t="n">
        <f aca="false">IFERROR((F9/B9)^(1/(40-26))-1,"")</f>
        <v>0.101612752940941</v>
      </c>
    </row>
    <row r="10" customFormat="false" ht="15" hidden="false" customHeight="false" outlineLevel="0" collapsed="false">
      <c r="A10" s="4" t="s">
        <v>10</v>
      </c>
      <c r="B10" s="5" t="n">
        <v>5121.888889</v>
      </c>
      <c r="C10" s="5" t="n">
        <v>10745.75</v>
      </c>
      <c r="D10" s="5" t="n">
        <v>11377.138889</v>
      </c>
      <c r="E10" s="5" t="n">
        <v>14438.194444</v>
      </c>
      <c r="F10" s="6" t="n">
        <f aca="false">E10</f>
        <v>14438.194444</v>
      </c>
      <c r="H10" s="7" t="n">
        <f aca="false">IFERROR((F10/B10)^(1/(40-26))-1,"")</f>
        <v>0.0768340177089988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5222.777778</v>
      </c>
      <c r="D11" s="5" t="n">
        <v>9460.25</v>
      </c>
      <c r="E11" s="5" t="n">
        <v>29199.611111</v>
      </c>
      <c r="F11" s="6" t="n">
        <f aca="false">E11</f>
        <v>29199.611111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6.055556</v>
      </c>
      <c r="C12" s="5" t="n">
        <v>13.25</v>
      </c>
      <c r="D12" s="5" t="n">
        <v>26.916667</v>
      </c>
      <c r="E12" s="5" t="n">
        <v>74.472222</v>
      </c>
      <c r="F12" s="6" t="n">
        <f aca="false">E12</f>
        <v>74.472222</v>
      </c>
      <c r="H12" s="7" t="n">
        <f aca="false">IFERROR((F12/B12)^(1/(40-26))-1,"")</f>
        <v>0.196315514090046</v>
      </c>
    </row>
    <row r="13" customFormat="false" ht="15" hidden="false" customHeight="false" outlineLevel="0" collapsed="false">
      <c r="A13" s="4" t="s">
        <v>13</v>
      </c>
      <c r="B13" s="5" t="n">
        <v>4931.388889</v>
      </c>
      <c r="C13" s="5" t="n">
        <v>5144.305556</v>
      </c>
      <c r="D13" s="5" t="n">
        <v>9636.833333</v>
      </c>
      <c r="E13" s="5" t="n">
        <v>10435.472222</v>
      </c>
      <c r="F13" s="6" t="n">
        <f aca="false">E13</f>
        <v>10435.472222</v>
      </c>
      <c r="H13" s="7" t="n">
        <f aca="false">IFERROR((F13/B13)^(1/(40-26))-1,"")</f>
        <v>0.0550014608665386</v>
      </c>
    </row>
    <row r="14" customFormat="false" ht="15" hidden="false" customHeight="false" outlineLevel="0" collapsed="false">
      <c r="A14" s="4" t="s">
        <v>14</v>
      </c>
      <c r="B14" s="5" t="n">
        <v>383.666667</v>
      </c>
      <c r="C14" s="5" t="n">
        <v>101.805556</v>
      </c>
      <c r="D14" s="5" t="n">
        <v>283.888889</v>
      </c>
      <c r="E14" s="5" t="n">
        <v>315.055556</v>
      </c>
      <c r="F14" s="6" t="n">
        <f aca="false">E14</f>
        <v>315.055556</v>
      </c>
      <c r="H14" s="7" t="n">
        <f aca="false">IFERROR((F14/B14)^(1/(40-26))-1,"")</f>
        <v>-0.0139746586349166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242321.388889</v>
      </c>
      <c r="C2" s="5" t="n">
        <v>189451.277778</v>
      </c>
      <c r="D2" s="5" t="n">
        <v>157905.444444</v>
      </c>
      <c r="E2" s="5" t="n">
        <v>125419.694444</v>
      </c>
      <c r="F2" s="6" t="n">
        <f aca="false">E2</f>
        <v>125419.694444</v>
      </c>
      <c r="H2" s="7" t="n">
        <f aca="false">IFERROR((F2/B2)^(1/(40-26))-1,"")</f>
        <v>-0.0459534384856489</v>
      </c>
    </row>
    <row r="3" customFormat="false" ht="15" hidden="false" customHeight="false" outlineLevel="0" collapsed="false">
      <c r="A3" s="4" t="s">
        <v>3</v>
      </c>
      <c r="B3" s="5" t="n">
        <v>516824.333333</v>
      </c>
      <c r="C3" s="5" t="n">
        <v>659251</v>
      </c>
      <c r="D3" s="5" t="n">
        <v>846293.194444</v>
      </c>
      <c r="E3" s="5" t="n">
        <v>829049.444444</v>
      </c>
      <c r="F3" s="6" t="n">
        <f aca="false">E3+E4</f>
        <v>829049.444444</v>
      </c>
      <c r="H3" s="7" t="n">
        <f aca="false">IFERROR((F3/B3)^(1/(40-26))-1,"")</f>
        <v>0.0343316640447333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47132.916667</v>
      </c>
      <c r="F5" s="6" t="n">
        <f aca="false">E5</f>
        <v>47132.916667</v>
      </c>
      <c r="H5" s="7"/>
    </row>
    <row r="6" customFormat="false" ht="15" hidden="false" customHeight="false" outlineLevel="0" collapsed="false">
      <c r="A6" s="4" t="s">
        <v>6</v>
      </c>
      <c r="B6" s="5" t="n">
        <v>277984.583333</v>
      </c>
      <c r="C6" s="5" t="n">
        <v>286137</v>
      </c>
      <c r="D6" s="5" t="n">
        <v>297357.666667</v>
      </c>
      <c r="E6" s="5" t="n">
        <v>349955.777778</v>
      </c>
      <c r="F6" s="6" t="n">
        <f aca="false">E6</f>
        <v>349955.777778</v>
      </c>
      <c r="H6" s="7" t="n">
        <f aca="false">IFERROR((F6/B6)^(1/(40-26))-1,"")</f>
        <v>0.0165817722603343</v>
      </c>
    </row>
    <row r="7" customFormat="false" ht="15" hidden="false" customHeight="false" outlineLevel="0" collapsed="false">
      <c r="A7" s="4" t="s">
        <v>7</v>
      </c>
      <c r="B7" s="5" t="n">
        <v>10710.666667</v>
      </c>
      <c r="C7" s="5" t="n">
        <v>12495.111111</v>
      </c>
      <c r="D7" s="5" t="n">
        <v>20020.388889</v>
      </c>
      <c r="E7" s="5" t="n">
        <v>27545.722222</v>
      </c>
      <c r="F7" s="6" t="n">
        <f aca="false">E7</f>
        <v>27545.722222</v>
      </c>
      <c r="H7" s="7" t="n">
        <f aca="false">IFERROR((F7/B7)^(1/(40-26))-1,"")</f>
        <v>0.0698002375727582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23599.5</v>
      </c>
      <c r="C9" s="5" t="n">
        <v>46707.472222</v>
      </c>
      <c r="D9" s="5" t="n">
        <v>63239.638889</v>
      </c>
      <c r="E9" s="5" t="n">
        <v>158496.388889</v>
      </c>
      <c r="F9" s="6" t="n">
        <f aca="false">E9</f>
        <v>158496.388889</v>
      </c>
      <c r="H9" s="7" t="n">
        <f aca="false">IFERROR((F9/B9)^(1/(40-26))-1,"")</f>
        <v>0.145723325855742</v>
      </c>
    </row>
    <row r="10" customFormat="false" ht="15" hidden="false" customHeight="false" outlineLevel="0" collapsed="false">
      <c r="A10" s="4" t="s">
        <v>10</v>
      </c>
      <c r="B10" s="5" t="n">
        <v>12772.388889</v>
      </c>
      <c r="C10" s="5" t="n">
        <v>21940</v>
      </c>
      <c r="D10" s="5" t="n">
        <v>26462.722222</v>
      </c>
      <c r="E10" s="5" t="n">
        <v>44999.861111</v>
      </c>
      <c r="F10" s="6" t="n">
        <f aca="false">E10</f>
        <v>44999.861111</v>
      </c>
      <c r="H10" s="7" t="n">
        <f aca="false">IFERROR((F10/B10)^(1/(40-26))-1,"")</f>
        <v>0.0941253345997699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8698.916667</v>
      </c>
      <c r="D11" s="5" t="n">
        <v>12847.611111</v>
      </c>
      <c r="E11" s="5" t="n">
        <v>32587.444444</v>
      </c>
      <c r="F11" s="6" t="n">
        <f aca="false">E11</f>
        <v>32587.444444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8.583333</v>
      </c>
      <c r="C12" s="5" t="n">
        <v>33.555556</v>
      </c>
      <c r="D12" s="5" t="n">
        <v>66.138889</v>
      </c>
      <c r="E12" s="5" t="n">
        <v>402.833333</v>
      </c>
      <c r="F12" s="6" t="n">
        <f aca="false">E12</f>
        <v>402.833333</v>
      </c>
      <c r="H12" s="7" t="n">
        <f aca="false">IFERROR((F12/B12)^(1/(40-26))-1,"")</f>
        <v>0.31640848872206</v>
      </c>
    </row>
    <row r="13" customFormat="false" ht="15" hidden="false" customHeight="false" outlineLevel="0" collapsed="false">
      <c r="A13" s="4" t="s">
        <v>13</v>
      </c>
      <c r="B13" s="5" t="n">
        <v>19114.555556</v>
      </c>
      <c r="C13" s="5" t="n">
        <v>34618.194444</v>
      </c>
      <c r="D13" s="5" t="n">
        <v>35242.388889</v>
      </c>
      <c r="E13" s="5" t="n">
        <v>108759.972222</v>
      </c>
      <c r="F13" s="6" t="n">
        <f aca="false">E13</f>
        <v>108759.972222</v>
      </c>
      <c r="H13" s="7" t="n">
        <f aca="false">IFERROR((F13/B13)^(1/(40-26))-1,"")</f>
        <v>0.132233663382459</v>
      </c>
    </row>
    <row r="14" customFormat="false" ht="15" hidden="false" customHeight="false" outlineLevel="0" collapsed="false">
      <c r="A14" s="4" t="s">
        <v>14</v>
      </c>
      <c r="B14" s="5" t="n">
        <v>799.305556</v>
      </c>
      <c r="C14" s="5" t="n">
        <v>363.583333</v>
      </c>
      <c r="D14" s="5" t="n">
        <v>380.194444</v>
      </c>
      <c r="E14" s="5" t="n">
        <v>530.083333</v>
      </c>
      <c r="F14" s="6" t="n">
        <f aca="false">E14</f>
        <v>530.083333</v>
      </c>
      <c r="H14" s="7" t="n">
        <f aca="false">IFERROR((F14/B14)^(1/(40-26))-1,"")</f>
        <v>-0.0289102282706952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290321.527778</v>
      </c>
      <c r="C2" s="5" t="n">
        <v>226978.638889</v>
      </c>
      <c r="D2" s="5" t="n">
        <v>189184.055556</v>
      </c>
      <c r="E2" s="5" t="n">
        <v>150263.388889</v>
      </c>
      <c r="F2" s="6" t="n">
        <f aca="false">E2</f>
        <v>150263.388889</v>
      </c>
      <c r="H2" s="7" t="n">
        <f aca="false">IFERROR((F2/B2)^(1/(40-26))-1,"")</f>
        <v>-0.0459534463641905</v>
      </c>
    </row>
    <row r="3" customFormat="false" ht="15" hidden="false" customHeight="false" outlineLevel="0" collapsed="false">
      <c r="A3" s="4" t="s">
        <v>3</v>
      </c>
      <c r="B3" s="5" t="n">
        <v>272716.527778</v>
      </c>
      <c r="C3" s="5" t="n">
        <v>453319.361111</v>
      </c>
      <c r="D3" s="5" t="n">
        <v>769539.583333</v>
      </c>
      <c r="E3" s="5" t="n">
        <v>835941.75</v>
      </c>
      <c r="F3" s="6" t="n">
        <f aca="false">E3+E4</f>
        <v>835941.75</v>
      </c>
      <c r="H3" s="7" t="n">
        <f aca="false">IFERROR((F3/B3)^(1/(40-26))-1,"")</f>
        <v>0.0832968202192359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610.75</v>
      </c>
      <c r="C5" s="5" t="n">
        <v>498.972222</v>
      </c>
      <c r="D5" s="5" t="n">
        <v>280.666667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267641.583333</v>
      </c>
      <c r="C6" s="5" t="n">
        <v>271488.75</v>
      </c>
      <c r="D6" s="5" t="n">
        <v>273908.361111</v>
      </c>
      <c r="E6" s="5" t="n">
        <v>369426.805556</v>
      </c>
      <c r="F6" s="6" t="n">
        <f aca="false">E6</f>
        <v>369426.805556</v>
      </c>
      <c r="H6" s="7" t="n">
        <f aca="false">IFERROR((F6/B6)^(1/(40-26))-1,"")</f>
        <v>0.0232887534760924</v>
      </c>
    </row>
    <row r="7" customFormat="false" ht="15" hidden="false" customHeight="false" outlineLevel="0" collapsed="false">
      <c r="A7" s="4" t="s">
        <v>7</v>
      </c>
      <c r="B7" s="5" t="n">
        <v>34545.555556</v>
      </c>
      <c r="C7" s="5" t="n">
        <v>35379.666667</v>
      </c>
      <c r="D7" s="5" t="n">
        <v>36718.972222</v>
      </c>
      <c r="E7" s="5" t="n">
        <v>37580.861111</v>
      </c>
      <c r="F7" s="6" t="n">
        <f aca="false">E7</f>
        <v>37580.861111</v>
      </c>
      <c r="H7" s="7" t="n">
        <f aca="false">IFERROR((F7/B7)^(1/(40-26))-1,"")</f>
        <v>0.00603355787461957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11400</v>
      </c>
      <c r="C9" s="5" t="n">
        <v>71858.611111</v>
      </c>
      <c r="D9" s="5" t="n">
        <v>83880.611111</v>
      </c>
      <c r="E9" s="5" t="n">
        <v>119781.972222</v>
      </c>
      <c r="F9" s="6" t="n">
        <f aca="false">E9</f>
        <v>119781.972222</v>
      </c>
      <c r="H9" s="7" t="n">
        <f aca="false">IFERROR((F9/B9)^(1/(40-26))-1,"")</f>
        <v>0.182941666586315</v>
      </c>
    </row>
    <row r="10" customFormat="false" ht="15" hidden="false" customHeight="false" outlineLevel="0" collapsed="false">
      <c r="A10" s="4" t="s">
        <v>10</v>
      </c>
      <c r="B10" s="5" t="n">
        <v>3978.75</v>
      </c>
      <c r="C10" s="5" t="n">
        <v>4019.777778</v>
      </c>
      <c r="D10" s="5" t="n">
        <v>7224.916667</v>
      </c>
      <c r="E10" s="5" t="n">
        <v>18562.055556</v>
      </c>
      <c r="F10" s="6" t="n">
        <f aca="false">E10</f>
        <v>18562.055556</v>
      </c>
      <c r="H10" s="7" t="n">
        <f aca="false">IFERROR((F10/B10)^(1/(40-26))-1,"")</f>
        <v>0.116290172059229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28.861111</v>
      </c>
      <c r="C12" s="5" t="n">
        <v>83.027778</v>
      </c>
      <c r="D12" s="5" t="n">
        <v>217.722222</v>
      </c>
      <c r="E12" s="5" t="n">
        <v>312.861111</v>
      </c>
      <c r="F12" s="6" t="n">
        <f aca="false">E12</f>
        <v>312.861111</v>
      </c>
      <c r="H12" s="7" t="n">
        <f aca="false">IFERROR((F12/B12)^(1/(40-26))-1,"")</f>
        <v>0.185581255016782</v>
      </c>
    </row>
    <row r="13" customFormat="false" ht="15" hidden="false" customHeight="false" outlineLevel="0" collapsed="false">
      <c r="A13" s="4" t="s">
        <v>13</v>
      </c>
      <c r="B13" s="5" t="n">
        <v>792.611111</v>
      </c>
      <c r="C13" s="5" t="n">
        <v>545.611111</v>
      </c>
      <c r="D13" s="5" t="n">
        <v>585.222222</v>
      </c>
      <c r="E13" s="5" t="n">
        <v>751.666667</v>
      </c>
      <c r="F13" s="6" t="n">
        <f aca="false">E13</f>
        <v>751.666667</v>
      </c>
      <c r="H13" s="7" t="n">
        <f aca="false">IFERROR((F13/B13)^(1/(40-26))-1,"")</f>
        <v>-0.00378138501539926</v>
      </c>
    </row>
    <row r="14" customFormat="false" ht="15" hidden="false" customHeight="false" outlineLevel="0" collapsed="false">
      <c r="A14" s="4" t="s">
        <v>14</v>
      </c>
      <c r="B14" s="5" t="n">
        <v>1781.333333</v>
      </c>
      <c r="C14" s="5" t="n">
        <v>1102.861111</v>
      </c>
      <c r="D14" s="5" t="n">
        <v>1136.194444</v>
      </c>
      <c r="E14" s="5" t="n">
        <v>1279.916667</v>
      </c>
      <c r="F14" s="6" t="n">
        <f aca="false">E14</f>
        <v>1279.916667</v>
      </c>
      <c r="H14" s="7" t="n">
        <f aca="false">IFERROR((F14/B14)^(1/(40-26))-1,"")</f>
        <v>-0.0233353603697813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154417.416667</v>
      </c>
      <c r="C2" s="5" t="n">
        <v>120726.333333</v>
      </c>
      <c r="D2" s="5" t="n">
        <v>89842.861111</v>
      </c>
      <c r="E2" s="5" t="n">
        <v>79922.694444</v>
      </c>
      <c r="F2" s="6" t="n">
        <f aca="false">E2</f>
        <v>79922.694444</v>
      </c>
      <c r="H2" s="7" t="n">
        <f aca="false">IFERROR((F2/B2)^(1/(40-26))-1,"")</f>
        <v>-0.0459534627426645</v>
      </c>
    </row>
    <row r="3" customFormat="false" ht="15" hidden="false" customHeight="false" outlineLevel="0" collapsed="false">
      <c r="A3" s="4" t="s">
        <v>3</v>
      </c>
      <c r="B3" s="5" t="n">
        <v>44851.888889</v>
      </c>
      <c r="C3" s="5" t="n">
        <v>144804.305556</v>
      </c>
      <c r="D3" s="5" t="n">
        <v>221344.305556</v>
      </c>
      <c r="E3" s="5" t="n">
        <v>170533.361111</v>
      </c>
      <c r="F3" s="6" t="n">
        <f aca="false">E3+E4</f>
        <v>170533.361111</v>
      </c>
      <c r="H3" s="7" t="n">
        <f aca="false">IFERROR((F3/B3)^(1/(40-26))-1,"")</f>
        <v>0.100096075315646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92.5</v>
      </c>
      <c r="C5" s="5" t="n">
        <v>98.555556</v>
      </c>
      <c r="D5" s="5" t="n">
        <v>49.666667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15487.638889</v>
      </c>
      <c r="C6" s="5" t="n">
        <v>15487.638889</v>
      </c>
      <c r="D6" s="5" t="n">
        <v>15487.638889</v>
      </c>
      <c r="E6" s="5" t="n">
        <v>37368.388889</v>
      </c>
      <c r="F6" s="6" t="n">
        <f aca="false">E6</f>
        <v>37368.388889</v>
      </c>
      <c r="H6" s="7" t="n">
        <f aca="false">IFERROR((F6/B6)^(1/(40-26))-1,"")</f>
        <v>0.064934255560068</v>
      </c>
    </row>
    <row r="7" customFormat="false" ht="15" hidden="false" customHeight="false" outlineLevel="0" collapsed="false">
      <c r="A7" s="4" t="s">
        <v>7</v>
      </c>
      <c r="B7" s="5" t="n">
        <v>10075.5</v>
      </c>
      <c r="C7" s="5" t="n">
        <v>13275.444444</v>
      </c>
      <c r="D7" s="5" t="n">
        <v>13275.444444</v>
      </c>
      <c r="E7" s="5" t="n">
        <v>13275.444444</v>
      </c>
      <c r="F7" s="6" t="n">
        <f aca="false">E7</f>
        <v>13275.444444</v>
      </c>
      <c r="H7" s="7" t="n">
        <f aca="false">IFERROR((F7/B7)^(1/(40-26))-1,"")</f>
        <v>0.0198960039017957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6115</v>
      </c>
      <c r="C9" s="5" t="n">
        <v>16639</v>
      </c>
      <c r="D9" s="5" t="n">
        <v>25913.638889</v>
      </c>
      <c r="E9" s="5" t="n">
        <v>51371.75</v>
      </c>
      <c r="F9" s="6" t="n">
        <f aca="false">E9</f>
        <v>51371.75</v>
      </c>
      <c r="H9" s="7" t="n">
        <f aca="false">IFERROR((F9/B9)^(1/(40-26))-1,"")</f>
        <v>0.164188812038425</v>
      </c>
    </row>
    <row r="10" customFormat="false" ht="15" hidden="false" customHeight="false" outlineLevel="0" collapsed="false">
      <c r="A10" s="4" t="s">
        <v>10</v>
      </c>
      <c r="B10" s="5" t="n">
        <v>86380.722222</v>
      </c>
      <c r="C10" s="5" t="n">
        <v>96904.472222</v>
      </c>
      <c r="D10" s="5" t="n">
        <v>162058.527778</v>
      </c>
      <c r="E10" s="5" t="n">
        <v>281951.944444</v>
      </c>
      <c r="F10" s="6" t="n">
        <f aca="false">E10</f>
        <v>281951.944444</v>
      </c>
      <c r="H10" s="7" t="n">
        <f aca="false">IFERROR((F10/B10)^(1/(40-26))-1,"")</f>
        <v>0.0881706770726312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8.472222</v>
      </c>
      <c r="C12" s="5" t="n">
        <v>1.138889</v>
      </c>
      <c r="D12" s="5" t="n">
        <v>5.166667</v>
      </c>
      <c r="E12" s="5" t="n">
        <v>66.416667</v>
      </c>
      <c r="F12" s="6" t="n">
        <f aca="false">E12</f>
        <v>66.416667</v>
      </c>
      <c r="H12" s="7" t="n">
        <f aca="false">IFERROR((F12/B12)^(1/(40-26))-1,"")</f>
        <v>0.158449549551849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348.555556</v>
      </c>
      <c r="F13" s="6" t="n">
        <f aca="false">E13</f>
        <v>348.555556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0</v>
      </c>
      <c r="C14" s="5" t="n">
        <v>0</v>
      </c>
      <c r="D14" s="5" t="n">
        <v>0</v>
      </c>
      <c r="E14" s="5" t="n">
        <v>0</v>
      </c>
      <c r="F14" s="6" t="n">
        <f aca="false">E14</f>
        <v>0</v>
      </c>
      <c r="H14" s="7" t="str">
        <f aca="false">IFERROR((F14/B14)^(1/(40-26))-1,"")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128275.111111</v>
      </c>
      <c r="C2" s="5" t="n">
        <v>100287.805556</v>
      </c>
      <c r="D2" s="5" t="n">
        <v>83588.722222</v>
      </c>
      <c r="E2" s="5" t="n">
        <v>66392.083333</v>
      </c>
      <c r="F2" s="6" t="n">
        <f aca="false">E2</f>
        <v>66392.083333</v>
      </c>
      <c r="H2" s="7" t="n">
        <f aca="false">IFERROR((F2/B2)^(1/(40-26))-1,"")</f>
        <v>-0.0459534528696179</v>
      </c>
    </row>
    <row r="3" customFormat="false" ht="15" hidden="false" customHeight="false" outlineLevel="0" collapsed="false">
      <c r="A3" s="4" t="s">
        <v>3</v>
      </c>
      <c r="B3" s="5" t="n">
        <v>160516.75</v>
      </c>
      <c r="C3" s="5" t="n">
        <v>173689.305556</v>
      </c>
      <c r="D3" s="5" t="n">
        <v>254499.722222</v>
      </c>
      <c r="E3" s="5" t="n">
        <v>201931.916667</v>
      </c>
      <c r="F3" s="6" t="n">
        <f aca="false">E3+E4</f>
        <v>201931.916667</v>
      </c>
      <c r="H3" s="7" t="n">
        <f aca="false">IFERROR((F3/B3)^(1/(40-26))-1,"")</f>
        <v>0.0165303022209677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8510.611111</v>
      </c>
      <c r="C5" s="5" t="n">
        <v>6079.277778</v>
      </c>
      <c r="D5" s="5" t="n">
        <v>3039.638889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39671.166667</v>
      </c>
      <c r="C6" s="5" t="n">
        <v>44546.805556</v>
      </c>
      <c r="D6" s="5" t="n">
        <v>49422.666667</v>
      </c>
      <c r="E6" s="5" t="n">
        <v>103108.861111</v>
      </c>
      <c r="F6" s="6" t="n">
        <f aca="false">E6</f>
        <v>103108.861111</v>
      </c>
      <c r="H6" s="7" t="n">
        <f aca="false">IFERROR((F6/B6)^(1/(40-26))-1,"")</f>
        <v>0.0706069853065463</v>
      </c>
    </row>
    <row r="7" customFormat="false" ht="15" hidden="false" customHeight="false" outlineLevel="0" collapsed="false">
      <c r="A7" s="4" t="s">
        <v>7</v>
      </c>
      <c r="B7" s="5" t="n">
        <v>123827.027778</v>
      </c>
      <c r="C7" s="5" t="n">
        <v>134686.305556</v>
      </c>
      <c r="D7" s="5" t="n">
        <v>158746.916667</v>
      </c>
      <c r="E7" s="5" t="n">
        <v>177982.694444</v>
      </c>
      <c r="F7" s="6" t="n">
        <f aca="false">E7</f>
        <v>177982.694444</v>
      </c>
      <c r="H7" s="7" t="n">
        <f aca="false">IFERROR((F7/B7)^(1/(40-26))-1,"")</f>
        <v>0.0262530291908363</v>
      </c>
    </row>
    <row r="8" customFormat="false" ht="15" hidden="false" customHeight="false" outlineLevel="0" collapsed="false">
      <c r="A8" s="4" t="s">
        <v>8</v>
      </c>
      <c r="B8" s="5" t="n">
        <v>0</v>
      </c>
      <c r="C8" s="5" t="n">
        <v>0</v>
      </c>
      <c r="D8" s="5" t="n">
        <v>0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30546.527778</v>
      </c>
      <c r="C9" s="5" t="n">
        <v>66410.277778</v>
      </c>
      <c r="D9" s="5" t="n">
        <v>107863.222222</v>
      </c>
      <c r="E9" s="5" t="n">
        <v>169832.611111</v>
      </c>
      <c r="F9" s="6" t="n">
        <f aca="false">E9</f>
        <v>169832.611111</v>
      </c>
      <c r="H9" s="7" t="n">
        <f aca="false">IFERROR((F9/B9)^(1/(40-26))-1,"")</f>
        <v>0.130364518582931</v>
      </c>
    </row>
    <row r="10" customFormat="false" ht="15" hidden="false" customHeight="false" outlineLevel="0" collapsed="false">
      <c r="A10" s="4" t="s">
        <v>10</v>
      </c>
      <c r="B10" s="5" t="n">
        <v>5559.388889</v>
      </c>
      <c r="C10" s="5" t="n">
        <v>8519.972222</v>
      </c>
      <c r="D10" s="5" t="n">
        <v>8108.527778</v>
      </c>
      <c r="E10" s="5" t="n">
        <v>33681.611111</v>
      </c>
      <c r="F10" s="6" t="n">
        <f aca="false">E10</f>
        <v>33681.611111</v>
      </c>
      <c r="H10" s="7" t="n">
        <f aca="false">IFERROR((F10/B10)^(1/(40-26))-1,"")</f>
        <v>0.137321558780296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0</v>
      </c>
      <c r="D11" s="5" t="n">
        <v>0</v>
      </c>
      <c r="E11" s="5" t="n">
        <v>0</v>
      </c>
      <c r="F11" s="6" t="n">
        <f aca="false">E11</f>
        <v>0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128.388889</v>
      </c>
      <c r="C12" s="5" t="n">
        <v>410.694444</v>
      </c>
      <c r="D12" s="5" t="n">
        <v>500.527778</v>
      </c>
      <c r="E12" s="5" t="n">
        <v>845.5</v>
      </c>
      <c r="F12" s="6" t="n">
        <f aca="false">E12</f>
        <v>845.5</v>
      </c>
      <c r="H12" s="7" t="n">
        <f aca="false">IFERROR((F12/B12)^(1/(40-26))-1,"")</f>
        <v>0.144117005615953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316.861111</v>
      </c>
      <c r="F13" s="6" t="n">
        <f aca="false">E13</f>
        <v>316.861111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404.972222</v>
      </c>
      <c r="C14" s="5" t="n">
        <v>270</v>
      </c>
      <c r="D14" s="5" t="n">
        <v>270</v>
      </c>
      <c r="E14" s="5" t="n">
        <v>506.194444</v>
      </c>
      <c r="F14" s="6" t="n">
        <f aca="false">E14</f>
        <v>506.194444</v>
      </c>
      <c r="H14" s="7" t="n">
        <f aca="false">IFERROR((F14/B14)^(1/(40-26))-1,"")</f>
        <v>0.016063538770553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15" hidden="false" customHeight="false" outlineLevel="0" collapsed="false">
      <c r="A1" s="1" t="s">
        <v>0</v>
      </c>
      <c r="B1" s="2" t="n">
        <v>2026</v>
      </c>
      <c r="C1" s="2" t="n">
        <v>2030</v>
      </c>
      <c r="D1" s="2" t="n">
        <v>2035</v>
      </c>
      <c r="E1" s="2" t="n">
        <v>2040</v>
      </c>
      <c r="H1" s="3" t="s">
        <v>1</v>
      </c>
    </row>
    <row r="2" customFormat="false" ht="15" hidden="false" customHeight="false" outlineLevel="0" collapsed="false">
      <c r="A2" s="4" t="s">
        <v>2</v>
      </c>
      <c r="B2" s="5" t="n">
        <v>21682.75</v>
      </c>
      <c r="C2" s="5" t="n">
        <v>20603.527778</v>
      </c>
      <c r="D2" s="5" t="n">
        <v>10722.25</v>
      </c>
      <c r="E2" s="5" t="n">
        <v>7988.055556</v>
      </c>
      <c r="F2" s="6" t="n">
        <f aca="false">E2</f>
        <v>7988.055556</v>
      </c>
      <c r="H2" s="7" t="n">
        <f aca="false">IFERROR((F2/B2)^(1/(40-26))-1,"")</f>
        <v>-0.0688420902874067</v>
      </c>
    </row>
    <row r="3" customFormat="false" ht="15" hidden="false" customHeight="false" outlineLevel="0" collapsed="false">
      <c r="A3" s="4" t="s">
        <v>3</v>
      </c>
      <c r="B3" s="5" t="n">
        <v>120556.527778</v>
      </c>
      <c r="C3" s="5" t="n">
        <v>126541.472222</v>
      </c>
      <c r="D3" s="5" t="n">
        <v>133652.611111</v>
      </c>
      <c r="E3" s="5" t="n">
        <v>46783.25</v>
      </c>
      <c r="F3" s="6" t="n">
        <f aca="false">E3+E4</f>
        <v>46783.25</v>
      </c>
      <c r="H3" s="7" t="n">
        <f aca="false">IFERROR((F3/B3)^(1/(40-26))-1,"")</f>
        <v>-0.0653786667254857</v>
      </c>
    </row>
    <row r="4" customFormat="false" ht="15" hidden="false" customHeight="false" outlineLevel="0" collapsed="false">
      <c r="A4" s="4" t="s">
        <v>4</v>
      </c>
      <c r="B4" s="5" t="n">
        <v>0</v>
      </c>
      <c r="C4" s="5" t="n">
        <v>0</v>
      </c>
      <c r="D4" s="5" t="n">
        <v>0</v>
      </c>
      <c r="E4" s="5" t="n">
        <v>0</v>
      </c>
    </row>
    <row r="5" customFormat="false" ht="15" hidden="false" customHeight="false" outlineLevel="0" collapsed="false">
      <c r="A5" s="4" t="s">
        <v>5</v>
      </c>
      <c r="B5" s="5" t="n">
        <v>0</v>
      </c>
      <c r="C5" s="5" t="n">
        <v>0</v>
      </c>
      <c r="D5" s="5" t="n">
        <v>0</v>
      </c>
      <c r="E5" s="5" t="n">
        <v>0</v>
      </c>
      <c r="F5" s="6" t="n">
        <f aca="false">E5</f>
        <v>0</v>
      </c>
      <c r="H5" s="7"/>
    </row>
    <row r="6" customFormat="false" ht="15" hidden="false" customHeight="false" outlineLevel="0" collapsed="false">
      <c r="A6" s="4" t="s">
        <v>6</v>
      </c>
      <c r="B6" s="5" t="n">
        <v>94606.361111</v>
      </c>
      <c r="C6" s="5" t="n">
        <v>94606.361111</v>
      </c>
      <c r="D6" s="5" t="n">
        <v>112398.972222</v>
      </c>
      <c r="E6" s="5" t="n">
        <v>128138.75</v>
      </c>
      <c r="F6" s="6" t="n">
        <f aca="false">E6</f>
        <v>128138.75</v>
      </c>
      <c r="H6" s="7" t="n">
        <f aca="false">IFERROR((F6/B6)^(1/(40-26))-1,"")</f>
        <v>0.0219071526183201</v>
      </c>
    </row>
    <row r="7" customFormat="false" ht="15" hidden="false" customHeight="false" outlineLevel="0" collapsed="false">
      <c r="A7" s="4" t="s">
        <v>7</v>
      </c>
      <c r="B7" s="5" t="n">
        <v>223678.472222</v>
      </c>
      <c r="C7" s="5" t="n">
        <v>228842.75</v>
      </c>
      <c r="D7" s="5" t="n">
        <v>259443.055556</v>
      </c>
      <c r="E7" s="5" t="n">
        <v>278784.083333</v>
      </c>
      <c r="F7" s="6" t="n">
        <f aca="false">E7</f>
        <v>278784.083333</v>
      </c>
      <c r="H7" s="7" t="n">
        <f aca="false">IFERROR((F7/B7)^(1/(40-26))-1,"")</f>
        <v>0.0158549451740737</v>
      </c>
    </row>
    <row r="8" customFormat="false" ht="15" hidden="false" customHeight="false" outlineLevel="0" collapsed="false">
      <c r="A8" s="4" t="s">
        <v>8</v>
      </c>
      <c r="B8" s="5" t="n">
        <v>17037.75</v>
      </c>
      <c r="C8" s="5" t="n">
        <v>24244.555556</v>
      </c>
      <c r="D8" s="5" t="n">
        <v>21213.972222</v>
      </c>
      <c r="E8" s="5" t="n">
        <v>0</v>
      </c>
      <c r="F8" s="6" t="n">
        <f aca="false">E8</f>
        <v>0</v>
      </c>
      <c r="H8" s="7"/>
    </row>
    <row r="9" customFormat="false" ht="15" hidden="false" customHeight="false" outlineLevel="0" collapsed="false">
      <c r="A9" s="4" t="s">
        <v>9</v>
      </c>
      <c r="B9" s="5" t="n">
        <v>8074.638889</v>
      </c>
      <c r="C9" s="5" t="n">
        <v>16154.444444</v>
      </c>
      <c r="D9" s="5" t="n">
        <v>18527.916667</v>
      </c>
      <c r="E9" s="5" t="n">
        <v>59850.972222</v>
      </c>
      <c r="F9" s="6" t="n">
        <f aca="false">E9</f>
        <v>59850.972222</v>
      </c>
      <c r="H9" s="7" t="n">
        <f aca="false">IFERROR((F9/B9)^(1/(40-26))-1,"")</f>
        <v>0.153822888976287</v>
      </c>
    </row>
    <row r="10" customFormat="false" ht="15" hidden="false" customHeight="false" outlineLevel="0" collapsed="false">
      <c r="A10" s="4" t="s">
        <v>10</v>
      </c>
      <c r="B10" s="5" t="n">
        <v>31015.583333</v>
      </c>
      <c r="C10" s="5" t="n">
        <v>53828.444444</v>
      </c>
      <c r="D10" s="5" t="n">
        <v>140564.861111</v>
      </c>
      <c r="E10" s="5" t="n">
        <v>257793.027778</v>
      </c>
      <c r="F10" s="6" t="n">
        <f aca="false">E10</f>
        <v>257793.027778</v>
      </c>
      <c r="H10" s="7" t="n">
        <f aca="false">IFERROR((F10/B10)^(1/(40-26))-1,"")</f>
        <v>0.163301343192545</v>
      </c>
    </row>
    <row r="11" customFormat="false" ht="15" hidden="false" customHeight="false" outlineLevel="0" collapsed="false">
      <c r="A11" s="4" t="s">
        <v>11</v>
      </c>
      <c r="B11" s="5" t="n">
        <v>0</v>
      </c>
      <c r="C11" s="5" t="n">
        <v>69026.861111</v>
      </c>
      <c r="D11" s="5" t="n">
        <v>155440.638889</v>
      </c>
      <c r="E11" s="5" t="n">
        <v>226174.027778</v>
      </c>
      <c r="F11" s="6" t="n">
        <f aca="false">E11</f>
        <v>226174.027778</v>
      </c>
      <c r="H11" s="7" t="str">
        <f aca="false">IFERROR((F11/B11)^(1/(40-26))-1,"")</f>
        <v/>
      </c>
    </row>
    <row r="12" customFormat="false" ht="15" hidden="false" customHeight="false" outlineLevel="0" collapsed="false">
      <c r="A12" s="4" t="s">
        <v>12</v>
      </c>
      <c r="B12" s="5" t="n">
        <v>44.694444</v>
      </c>
      <c r="C12" s="5" t="n">
        <v>72.5</v>
      </c>
      <c r="D12" s="5" t="n">
        <v>91.194444</v>
      </c>
      <c r="E12" s="5" t="n">
        <v>98.611111</v>
      </c>
      <c r="F12" s="6" t="n">
        <f aca="false">E12</f>
        <v>98.611111</v>
      </c>
      <c r="H12" s="7" t="n">
        <f aca="false">IFERROR((F12/B12)^(1/(40-26))-1,"")</f>
        <v>0.0581519152346268</v>
      </c>
    </row>
    <row r="13" customFormat="false" ht="15" hidden="false" customHeight="false" outlineLevel="0" collapsed="false">
      <c r="A13" s="4" t="s">
        <v>13</v>
      </c>
      <c r="B13" s="5" t="n">
        <v>0</v>
      </c>
      <c r="C13" s="5" t="n">
        <v>0</v>
      </c>
      <c r="D13" s="5" t="n">
        <v>0</v>
      </c>
      <c r="E13" s="5" t="n">
        <v>147.888889</v>
      </c>
      <c r="F13" s="6" t="n">
        <f aca="false">E13</f>
        <v>147.888889</v>
      </c>
      <c r="H13" s="7" t="str">
        <f aca="false">IFERROR((F13/B13)^(1/(40-26))-1,"")</f>
        <v/>
      </c>
    </row>
    <row r="14" customFormat="false" ht="15" hidden="false" customHeight="false" outlineLevel="0" collapsed="false">
      <c r="A14" s="4" t="s">
        <v>14</v>
      </c>
      <c r="B14" s="5" t="n">
        <v>46.972222</v>
      </c>
      <c r="C14" s="5" t="n">
        <v>46.972222</v>
      </c>
      <c r="D14" s="5" t="n">
        <v>46.972222</v>
      </c>
      <c r="E14" s="5" t="n">
        <v>34.277778</v>
      </c>
      <c r="F14" s="6" t="n">
        <f aca="false">E14</f>
        <v>34.277778</v>
      </c>
      <c r="H14" s="7" t="n">
        <f aca="false">IFERROR((F14/B14)^(1/(40-26))-1,"")</f>
        <v>-0.022252892624968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2026-06-19T13:34:32Z</dcterms:created>
  <dc:creator>openpyxl</dc:creator>
  <dc:description/>
  <dc:language>en-US</dc:language>
  <cp:lastModifiedBy>Loeffler, Konstantin Emanuel</cp:lastModifiedBy>
  <dcterms:modified xsi:type="dcterms:W3CDTF">2026-07-08T09:45:35Z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0x01010082ADAD4575580A45A32A311003C10D23</vt:lpwstr>
  </property>
  <property fmtid="{D5CDD505-2E9C-101B-9397-08002B2CF9AE}" pid="3" name="MSIP_Label_37fac670-6c08-454c-9763-546258b8d606_ActionId">
    <vt:lpwstr>f7d1237a-feab-4490-ad1e-9d91dfac1ae1</vt:lpwstr>
  </property>
  <property fmtid="{D5CDD505-2E9C-101B-9397-08002B2CF9AE}" pid="4" name="MSIP_Label_37fac670-6c08-454c-9763-546258b8d606_Enabled">
    <vt:lpwstr>True</vt:lpwstr>
  </property>
  <property fmtid="{D5CDD505-2E9C-101B-9397-08002B2CF9AE}" pid="5" name="MSIP_Label_37fac670-6c08-454c-9763-546258b8d606_Extended_MSFT_Method">
    <vt:lpwstr>Standard</vt:lpwstr>
  </property>
  <property fmtid="{D5CDD505-2E9C-101B-9397-08002B2CF9AE}" pid="6" name="MSIP_Label_37fac670-6c08-454c-9763-546258b8d606_Name">
    <vt:lpwstr>Confidential</vt:lpwstr>
  </property>
  <property fmtid="{D5CDD505-2E9C-101B-9397-08002B2CF9AE}" pid="7" name="MSIP_Label_37fac670-6c08-454c-9763-546258b8d606_SetDate">
    <vt:lpwstr>2026-06-19T13:35:22Z</vt:lpwstr>
  </property>
  <property fmtid="{D5CDD505-2E9C-101B-9397-08002B2CF9AE}" pid="8" name="MSIP_Label_37fac670-6c08-454c-9763-546258b8d606_SiteId">
    <vt:lpwstr>254ba93e-1f6f-48f3-90e6-e2766664b477</vt:lpwstr>
  </property>
  <property fmtid="{D5CDD505-2E9C-101B-9397-08002B2CF9AE}" pid="9" name="MSIP_Label_59844090-d756-4ce6-b8ef-4e0e3f430d0e_ActionId">
    <vt:lpwstr>aeb77888-bb5b-4338-8cfa-d3ef77393c4f</vt:lpwstr>
  </property>
  <property fmtid="{D5CDD505-2E9C-101B-9397-08002B2CF9AE}" pid="10" name="MSIP_Label_59844090-d756-4ce6-b8ef-4e0e3f430d0e_Enabled">
    <vt:lpwstr>True</vt:lpwstr>
  </property>
  <property fmtid="{D5CDD505-2E9C-101B-9397-08002B2CF9AE}" pid="11" name="MSIP_Label_59844090-d756-4ce6-b8ef-4e0e3f430d0e_Extended_MSFT_Method">
    <vt:lpwstr>Standard</vt:lpwstr>
  </property>
  <property fmtid="{D5CDD505-2E9C-101B-9397-08002B2CF9AE}" pid="12" name="MSIP_Label_59844090-d756-4ce6-b8ef-4e0e3f430d0e_Name">
    <vt:lpwstr>Confidential \ Confidential Unencrypted</vt:lpwstr>
  </property>
  <property fmtid="{D5CDD505-2E9C-101B-9397-08002B2CF9AE}" pid="13" name="MSIP_Label_59844090-d756-4ce6-b8ef-4e0e3f430d0e_Parent">
    <vt:lpwstr>37fac670-6c08-454c-9763-546258b8d606</vt:lpwstr>
  </property>
  <property fmtid="{D5CDD505-2E9C-101B-9397-08002B2CF9AE}" pid="14" name="MSIP_Label_59844090-d756-4ce6-b8ef-4e0e3f430d0e_Removed">
    <vt:lpwstr>False</vt:lpwstr>
  </property>
  <property fmtid="{D5CDD505-2E9C-101B-9397-08002B2CF9AE}" pid="15" name="MSIP_Label_59844090-d756-4ce6-b8ef-4e0e3f430d0e_SetDate">
    <vt:lpwstr>2026-06-19T13:35:22Z</vt:lpwstr>
  </property>
  <property fmtid="{D5CDD505-2E9C-101B-9397-08002B2CF9AE}" pid="16" name="MSIP_Label_59844090-d756-4ce6-b8ef-4e0e3f430d0e_SiteId">
    <vt:lpwstr>254ba93e-1f6f-48f3-90e6-e2766664b477</vt:lpwstr>
  </property>
  <property fmtid="{D5CDD505-2E9C-101B-9397-08002B2CF9AE}" pid="17" name="MediaServiceImageTags">
    <vt:lpwstr/>
  </property>
  <property fmtid="{D5CDD505-2E9C-101B-9397-08002B2CF9AE}" pid="18" name="Sensitivity">
    <vt:lpwstr>Confidential \ Confidential Unencrypted Confidential</vt:lpwstr>
  </property>
</Properties>
</file>