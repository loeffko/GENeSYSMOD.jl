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0057UHE\Documents\GitHub_Repos\GENeSYSMOD.jl\Scripts\templates\"/>
    </mc:Choice>
  </mc:AlternateContent>
  <xr:revisionPtr revIDLastSave="0" documentId="13_ncr:1_{A6C5C905-63EE-440D-A8F0-7418725BEBE3}" xr6:coauthVersionLast="47" xr6:coauthVersionMax="47" xr10:uidLastSave="{00000000-0000-0000-0000-000000000000}"/>
  <bookViews>
    <workbookView xWindow="-120" yWindow="-120" windowWidth="29040" windowHeight="15720" xr2:uid="{6FBB2829-521B-41A3-80FA-92552D66DA7A}"/>
  </bookViews>
  <sheets>
    <sheet name="Total EU" sheetId="1" r:id="rId1"/>
    <sheet name="Germany" sheetId="2" r:id="rId2"/>
    <sheet name="France" sheetId="3" r:id="rId3"/>
    <sheet name="Great Britain" sheetId="4" r:id="rId4"/>
    <sheet name="Italy" sheetId="5" r:id="rId5"/>
    <sheet name="Spain" sheetId="6" r:id="rId6"/>
    <sheet name="Poland" sheetId="7" r:id="rId7"/>
    <sheet name="Other EU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6" i="2"/>
  <c r="G7" i="2"/>
  <c r="G9" i="2"/>
  <c r="G10" i="2"/>
  <c r="G11" i="2"/>
  <c r="G12" i="2"/>
  <c r="G13" i="2"/>
  <c r="G14" i="2"/>
  <c r="E2" i="1"/>
  <c r="G2" i="1" s="1"/>
  <c r="E3" i="1"/>
  <c r="G3" i="1" s="1"/>
  <c r="E5" i="1"/>
  <c r="E6" i="1"/>
  <c r="G6" i="1"/>
  <c r="E7" i="1"/>
  <c r="G7" i="1"/>
  <c r="E8" i="1"/>
  <c r="E9" i="1"/>
  <c r="G9" i="1"/>
  <c r="E10" i="1"/>
  <c r="G10" i="1" s="1"/>
  <c r="E11" i="1"/>
  <c r="G11" i="1"/>
  <c r="E12" i="1"/>
  <c r="G12" i="1"/>
  <c r="E13" i="1"/>
  <c r="G13" i="1"/>
  <c r="E14" i="1"/>
  <c r="G14" i="1"/>
  <c r="E2" i="2"/>
  <c r="E3" i="2"/>
  <c r="E5" i="2"/>
  <c r="E6" i="2"/>
  <c r="E7" i="2"/>
  <c r="E8" i="2"/>
  <c r="E9" i="2"/>
  <c r="E10" i="2"/>
  <c r="E11" i="2"/>
  <c r="E12" i="2"/>
  <c r="E13" i="2"/>
  <c r="E14" i="2"/>
</calcChain>
</file>

<file path=xl/sharedStrings.xml><?xml version="1.0" encoding="utf-8"?>
<sst xmlns="http://schemas.openxmlformats.org/spreadsheetml/2006/main" count="114" uniqueCount="15">
  <si>
    <t>Category</t>
  </si>
  <si>
    <t>Coal</t>
  </si>
  <si>
    <t>Gas</t>
  </si>
  <si>
    <t>Gas CCS</t>
  </si>
  <si>
    <t>Other</t>
  </si>
  <si>
    <t>Nuclear</t>
  </si>
  <si>
    <t>Hydro</t>
  </si>
  <si>
    <t>Biomass</t>
  </si>
  <si>
    <t>Solar</t>
  </si>
  <si>
    <t>Wind Onshore</t>
  </si>
  <si>
    <t>Wind Offshore</t>
  </si>
  <si>
    <t>BESS</t>
  </si>
  <si>
    <t>LDES</t>
  </si>
  <si>
    <t>PHES</t>
  </si>
  <si>
    <t>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</si>
</sst>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;\-#,##0;\-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4" fillId="0" borderId="0">
      <alignment vertical="top"/>
      <protection locked="0"/>
    </xf>
    <xf numFmtId="0" fontId="3" fillId="0" borderId="0"/>
    <xf numFmtId="0" fontId="3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164" fontId="0" fillId="0" borderId="0" xfId="0" applyNumberFormat="1"/>
    <xf numFmtId="9" fontId="0" fillId="0" borderId="0" xfId="0" applyNumberFormat="1"/>
  </cellXfs>
  <cellStyles count="4">
    <cellStyle name="Normal" xfId="0" builtinId="0"/>
    <cellStyle name="Normal 2" xfId="2" xr:uid="{17060834-4B83-4A4F-AD92-71CDDD1EE820}"/>
    <cellStyle name="Normal 3" xfId="3" xr:uid="{A380FBEC-B30E-4F73-81BE-652B6B8D8B32}"/>
    <cellStyle name="Normal 4" xfId="1" xr:uid="{AFB00974-D386-45F3-9998-62226C4FCA37}"/>
  </cellStyles>
  <dxfs count="50">
    <dxf>
      <fill>
        <patternFill patternType="solid">
          <fgColor theme="4" tint="0.79995117038483843"/>
          <bgColor rgb="FF92D050"/>
        </patternFill>
      </fill>
      <border>
        <bottom/>
      </border>
    </dxf>
    <dxf>
      <font>
        <color theme="0"/>
      </font>
      <fill>
        <patternFill patternType="solid">
          <fgColor theme="4" tint="0.79992065187536243"/>
          <bgColor rgb="FF006600"/>
        </patternFill>
      </fill>
      <border>
        <bottom/>
      </border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rgb="FFDDEBF7"/>
          <bgColor rgb="FFDDEBF7"/>
        </patternFill>
      </fill>
    </dxf>
    <dxf>
      <fill>
        <patternFill>
          <bgColor rgb="FF5B94AE"/>
        </patternFill>
      </fill>
      <border>
        <left/>
        <right/>
        <top/>
        <bottom style="thin">
          <color auto="1"/>
        </bottom>
        <vertical style="hair">
          <color theme="0" tint="-0.34998626667073579"/>
        </vertical>
      </border>
    </dxf>
    <dxf>
      <fill>
        <patternFill>
          <bgColor theme="0"/>
        </patternFill>
      </fill>
      <border>
        <left style="thin">
          <color theme="0" tint="-0.34998626667073579"/>
        </left>
        <right style="thin">
          <color theme="0" tint="-0.499984740745262"/>
        </right>
        <top style="thin">
          <color theme="0" tint="-0.24994659260841701"/>
        </top>
        <bottom style="thin">
          <color theme="0" tint="-0.499984740745262"/>
        </bottom>
        <vertical style="dotted">
          <color theme="0" tint="-0.499984740745262"/>
        </vertical>
        <horizontal style="dotted">
          <color theme="0" tint="-0.499984740745262"/>
        </horizontal>
      </border>
    </dxf>
    <dxf>
      <font>
        <b/>
      </font>
      <fill>
        <patternFill>
          <bgColor rgb="FFD7D7D7"/>
        </patternFill>
      </fill>
    </dxf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  <dxf>
      <fill>
        <patternFill>
          <bgColor rgb="FF5AC2AE"/>
        </patternFill>
      </fill>
    </dxf>
    <dxf>
      <font>
        <b/>
        <i val="0"/>
        <color theme="0"/>
      </font>
      <fill>
        <patternFill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ill>
        <patternFill>
          <bgColor theme="0" tint="-0.24994659260841701"/>
        </patternFill>
      </fill>
    </dxf>
    <dxf>
      <font>
        <color auto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 style="thin">
          <color theme="0" tint="-0.24994659260841701"/>
        </horizontal>
      </border>
    </dxf>
    <dxf>
      <font>
        <b/>
        <i val="0"/>
        <color auto="1"/>
      </font>
      <fill>
        <patternFill>
          <bgColor rgb="FFFDCCA3"/>
        </patternFill>
      </fill>
    </dxf>
    <dxf>
      <border>
        <left style="thin">
          <color rgb="FFFDCCA3"/>
        </left>
        <right style="thin">
          <color rgb="FFFDCCA3"/>
        </right>
        <top style="thin">
          <color rgb="FFFDCCA3"/>
        </top>
        <bottom style="thin">
          <color rgb="FFFDCCA3"/>
        </bottom>
        <vertical style="thin">
          <color rgb="FFFDCCA3"/>
        </vertical>
        <horizontal style="thin">
          <color rgb="FFFDCCA3"/>
        </horizontal>
      </border>
    </dxf>
    <dxf>
      <font>
        <b/>
        <i val="0"/>
        <color theme="0"/>
      </font>
      <fill>
        <patternFill>
          <bgColor rgb="FFEA2839"/>
        </patternFill>
      </fill>
    </dxf>
    <dxf>
      <border>
        <left style="thin">
          <color rgb="FFEA2839"/>
        </left>
        <right style="thin">
          <color rgb="FFEA2839"/>
        </right>
        <top style="thin">
          <color rgb="FFEA2839"/>
        </top>
        <bottom style="thin">
          <color rgb="FFEA2839"/>
        </bottom>
        <vertical/>
        <horizontal style="thin">
          <color rgb="FFEA2839"/>
        </horizontal>
      </border>
    </dxf>
    <dxf>
      <font>
        <b/>
        <i val="0"/>
        <color rgb="FFFFFFFF"/>
      </font>
      <fill>
        <patternFill>
          <bgColor rgb="FFFF6D22"/>
        </patternFill>
      </fill>
    </dxf>
    <dxf>
      <border>
        <left style="thin">
          <color rgb="FFFF6D22"/>
        </left>
        <right style="thin">
          <color rgb="FFFF6D22"/>
        </right>
        <top style="thin">
          <color rgb="FFFF6D22"/>
        </top>
        <bottom style="thin">
          <color rgb="FFFF6D22"/>
        </bottom>
        <vertical/>
        <horizontal style="thin">
          <color rgb="FFFF6D22"/>
        </horizontal>
      </border>
    </dxf>
    <dxf>
      <font>
        <b/>
        <i val="0"/>
        <color theme="0"/>
      </font>
      <fill>
        <patternFill>
          <bgColor rgb="FF00C78B"/>
        </patternFill>
      </fill>
      <border>
        <left style="thin">
          <color rgb="FF00C78B"/>
        </left>
        <right style="thin">
          <color rgb="FF00C78B"/>
        </right>
        <top style="thin">
          <color rgb="FF00C78B"/>
        </top>
        <bottom style="thin">
          <color rgb="FF00C78B"/>
        </bottom>
        <vertical style="thin">
          <color rgb="FF00C78B"/>
        </vertical>
        <horizontal style="thin">
          <color rgb="FF00C78B"/>
        </horizontal>
      </border>
    </dxf>
    <dxf>
      <border>
        <left style="thin">
          <color rgb="FF00C78B"/>
        </left>
        <right style="thin">
          <color rgb="FF00C78B"/>
        </right>
        <top style="thin">
          <color rgb="FF00C78B"/>
        </top>
        <bottom style="thin">
          <color rgb="FF00C78B"/>
        </bottom>
        <horizontal style="thin">
          <color rgb="FF00C78B"/>
        </horizontal>
      </border>
    </dxf>
    <dxf>
      <font>
        <b/>
        <i val="0"/>
        <color theme="0"/>
      </font>
      <fill>
        <patternFill>
          <bgColor rgb="FF00B9E4"/>
        </patternFill>
      </fill>
    </dxf>
    <dxf>
      <border>
        <left style="thin">
          <color rgb="FF00B9E4"/>
        </left>
        <right style="thin">
          <color rgb="FF00B9E4"/>
        </right>
        <top style="thin">
          <color rgb="FF00B9E4"/>
        </top>
        <bottom style="thin">
          <color rgb="FF00B9E4"/>
        </bottom>
      </border>
    </dxf>
    <dxf>
      <fill>
        <patternFill>
          <bgColor rgb="FFE6E6E6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 style="thick">
          <color auto="1"/>
        </bottom>
        <vertical/>
        <horizontal/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</dxfs>
  <tableStyles count="22" defaultTableStyle="TableStyleMedium9" defaultPivotStyle="PivotStyleLight16">
    <tableStyle name="Firm Table 1" pivot="0" count="3" xr9:uid="{2830A161-3930-4DC5-9C26-6B2FAB7215EC}">
      <tableStyleElement type="wholeTable" dxfId="49"/>
      <tableStyleElement type="headerRow" dxfId="48"/>
      <tableStyleElement type="firstColumn" dxfId="47"/>
    </tableStyle>
    <tableStyle name="Firm Table 2" pivot="0" count="2" xr9:uid="{F66084CB-96C8-4A06-A1F1-8320F3BD0B1A}">
      <tableStyleElement type="headerRow" dxfId="46"/>
      <tableStyleElement type="firstColumn" dxfId="45"/>
    </tableStyle>
    <tableStyle name="Firm Table 3" pivot="0" count="2" xr9:uid="{974895B1-624A-4241-A2C8-73D2760826B2}">
      <tableStyleElement type="headerRow" dxfId="44"/>
      <tableStyleElement type="firstColumn" dxfId="43"/>
    </tableStyle>
    <tableStyle name="Firm Table 4" pivot="0" count="3" xr9:uid="{843988A3-D1AF-4BD1-BFC4-B23557832E70}">
      <tableStyleElement type="wholeTable" dxfId="42"/>
      <tableStyleElement type="headerRow" dxfId="41"/>
      <tableStyleElement type="firstColumn" dxfId="40"/>
    </tableStyle>
    <tableStyle name="Firm Table 5" pivot="0" count="2" xr9:uid="{6176E50C-5C7B-433A-9B37-2BCB4DCCC19C}">
      <tableStyleElement type="headerRow" dxfId="39"/>
      <tableStyleElement type="firstColumn" dxfId="38"/>
    </tableStyle>
    <tableStyle name="Firm Table 6" pivot="0" count="3" xr9:uid="{43EC7E93-8D55-4C06-A4E7-EE7A5E8FB4E4}">
      <tableStyleElement type="wholeTable" dxfId="37"/>
      <tableStyleElement type="headerRow" dxfId="36"/>
      <tableStyleElement type="firstColumn" dxfId="35"/>
    </tableStyle>
    <tableStyle name="Firm Table 7" pivot="0" count="3" xr9:uid="{F4E2F0DB-D8C1-4F16-9779-912AE3470CB1}">
      <tableStyleElement type="headerRow" dxfId="34"/>
      <tableStyleElement type="firstColumn" dxfId="33"/>
      <tableStyleElement type="secondRowStripe" dxfId="32"/>
    </tableStyle>
    <tableStyle name="BNEF " pivot="0" count="2" xr9:uid="{C34C11C2-0148-415D-AE7C-3C7C7286870D}">
      <tableStyleElement type="wholeTable" dxfId="31"/>
      <tableStyleElement type="headerRow" dxfId="30"/>
    </tableStyle>
    <tableStyle name="BNEF 1" pivot="0" count="2" xr9:uid="{8C6F86FF-2847-4F04-B162-11E3A3408D29}">
      <tableStyleElement type="wholeTable" dxfId="29"/>
      <tableStyleElement type="headerRow" dxfId="28"/>
    </tableStyle>
    <tableStyle name="BNEF 2" pivot="0" count="2" xr9:uid="{395601DA-5FF0-4D4E-9E7D-3BAFA1D283A4}">
      <tableStyleElement type="wholeTable" dxfId="27"/>
      <tableStyleElement type="headerRow" dxfId="26"/>
    </tableStyle>
    <tableStyle name="BNEF 3" pivot="0" count="2" xr9:uid="{0B29D422-962B-4BF3-9113-DC156553D6E8}">
      <tableStyleElement type="wholeTable" dxfId="25"/>
      <tableStyleElement type="headerRow" dxfId="24"/>
    </tableStyle>
    <tableStyle name="BNEF 4" pivot="0" count="2" xr9:uid="{1E307F36-724D-433C-86B3-418504818A57}">
      <tableStyleElement type="wholeTable" dxfId="23"/>
      <tableStyleElement type="headerRow" dxfId="22"/>
    </tableStyle>
    <tableStyle name="BNEF 5" pivot="0" count="2" xr9:uid="{25BB1CCE-9A5E-4185-8AD0-4FEA65828230}">
      <tableStyleElement type="wholeTable" dxfId="21"/>
      <tableStyleElement type="headerRow" dxfId="20"/>
    </tableStyle>
    <tableStyle name="DATA SPREADSHEET" pivot="0" count="2" xr9:uid="{5F11BC54-2CD6-4782-B21C-04DEEA4DC4E0}">
      <tableStyleElement type="wholeTable" dxfId="19"/>
      <tableStyleElement type="headerRow" dxfId="18"/>
    </tableStyle>
    <tableStyle name="Mckinsey" pivot="0" count="1" xr9:uid="{5E9FB76D-B691-46B2-BB47-EB56018280F6}">
      <tableStyleElement type="wholeTable" dxfId="17"/>
    </tableStyle>
    <tableStyle name="Table Style 1" pivot="0" count="2" xr9:uid="{8342D7C7-F690-4B2F-9C84-765BE302E001}">
      <tableStyleElement type="wholeTable" dxfId="16"/>
      <tableStyleElement type="headerRow" dxfId="15"/>
    </tableStyle>
    <tableStyle name="MySqlDefault" pivot="0" table="0" count="1" xr9:uid="{0214087D-3450-49B9-8446-0D7C75306307}">
      <tableStyleElement type="headerRow" dxfId="14"/>
    </tableStyle>
    <tableStyle name="ETI PivotTable Style" table="0" count="1" xr9:uid="{71203972-BC5C-424F-A966-E96910615587}">
      <tableStyleElement type="pageFieldValues" dxfId="13"/>
    </tableStyle>
    <tableStyle name="Input_Table" pivot="0" count="1" xr9:uid="{DE2AF92A-6F32-432E-8795-991667FAD17A}">
      <tableStyleElement type="headerRow" dxfId="12"/>
    </tableStyle>
    <tableStyle name="TableStyleMedium2 2" pivot="0" count="1" xr9:uid="{6F756CD1-C49E-410A-9857-80C62020E59A}">
      <tableStyleElement type="firstColumnStripe" dxfId="11"/>
    </tableStyle>
    <tableStyle name="Invisible" pivot="0" table="0" count="0" xr9:uid="{D2B57D9E-E104-4E12-BF2B-FEDF83986234}"/>
    <tableStyle name="PivotStyleLight16 2" table="0" count="11" xr9:uid="{83C5D71D-B4A0-482E-BBC1-B2EBAC51B3F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M15" sqref="M15"/>
    </sheetView>
  </sheetViews>
  <sheetFormatPr defaultRowHeight="15" x14ac:dyDescent="0.25"/>
  <cols>
    <col min="1" max="1" width="16" customWidth="1"/>
    <col min="2" max="4" width="12" customWidth="1"/>
  </cols>
  <sheetData>
    <row r="1" spans="1:7" x14ac:dyDescent="0.25">
      <c r="A1" s="1" t="s">
        <v>0</v>
      </c>
      <c r="B1" s="2">
        <v>2026</v>
      </c>
      <c r="C1" s="2">
        <v>2030</v>
      </c>
      <c r="D1" s="2">
        <v>2040</v>
      </c>
      <c r="G1" t="s">
        <v>14</v>
      </c>
    </row>
    <row r="2" spans="1:7" x14ac:dyDescent="0.25">
      <c r="A2" s="3" t="s">
        <v>1</v>
      </c>
      <c r="B2" s="4">
        <v>88802</v>
      </c>
      <c r="C2" s="4">
        <v>58194</v>
      </c>
      <c r="D2" s="4">
        <v>12843</v>
      </c>
      <c r="E2" s="5">
        <f>D2</f>
        <v>12843</v>
      </c>
      <c r="G2" s="6">
        <f>(E2/B2)^(1/(40-26))-1</f>
        <v>-0.12900149479779466</v>
      </c>
    </row>
    <row r="3" spans="1:7" x14ac:dyDescent="0.25">
      <c r="A3" s="3" t="s">
        <v>2</v>
      </c>
      <c r="B3" s="4">
        <v>242295</v>
      </c>
      <c r="C3" s="4">
        <v>273749</v>
      </c>
      <c r="D3" s="4">
        <v>339183</v>
      </c>
      <c r="E3" s="5">
        <f>D3+D4</f>
        <v>343583</v>
      </c>
      <c r="G3" s="6">
        <f>(E3/B3)^(1/(40-26))-1</f>
        <v>2.5261858304640894E-2</v>
      </c>
    </row>
    <row r="4" spans="1:7" x14ac:dyDescent="0.25">
      <c r="A4" s="3" t="s">
        <v>3</v>
      </c>
      <c r="B4" s="4">
        <v>0</v>
      </c>
      <c r="C4" s="4">
        <v>0</v>
      </c>
      <c r="D4" s="4">
        <v>4400</v>
      </c>
    </row>
    <row r="5" spans="1:7" x14ac:dyDescent="0.25">
      <c r="A5" s="3" t="s">
        <v>4</v>
      </c>
      <c r="B5" s="4">
        <v>44589</v>
      </c>
      <c r="C5" s="4">
        <v>41140</v>
      </c>
      <c r="D5" s="4">
        <v>39099</v>
      </c>
      <c r="E5" s="5">
        <f>D5</f>
        <v>39099</v>
      </c>
      <c r="G5" s="6"/>
    </row>
    <row r="6" spans="1:7" x14ac:dyDescent="0.25">
      <c r="A6" s="3" t="s">
        <v>5</v>
      </c>
      <c r="B6" s="4">
        <v>102244</v>
      </c>
      <c r="C6" s="4">
        <v>98022</v>
      </c>
      <c r="D6" s="4">
        <v>106030</v>
      </c>
      <c r="E6" s="5">
        <f t="shared" ref="E6:E14" si="0">D6</f>
        <v>106030</v>
      </c>
      <c r="G6" s="6">
        <f t="shared" ref="G6:G14" si="1">(E6/B6)^(1/(40-26))-1</f>
        <v>2.6005154497830141E-3</v>
      </c>
    </row>
    <row r="7" spans="1:7" x14ac:dyDescent="0.25">
      <c r="A7" s="3" t="s">
        <v>6</v>
      </c>
      <c r="B7" s="4">
        <v>110701</v>
      </c>
      <c r="C7" s="4">
        <v>112349</v>
      </c>
      <c r="D7" s="4">
        <v>114449</v>
      </c>
      <c r="E7" s="5">
        <f t="shared" si="0"/>
        <v>114449</v>
      </c>
      <c r="G7" s="6">
        <f t="shared" si="1"/>
        <v>2.3811472834562863E-3</v>
      </c>
    </row>
    <row r="8" spans="1:7" x14ac:dyDescent="0.25">
      <c r="A8" s="3" t="s">
        <v>7</v>
      </c>
      <c r="B8" s="4">
        <v>39906</v>
      </c>
      <c r="C8" s="4">
        <v>40474</v>
      </c>
      <c r="D8" s="4">
        <v>46106</v>
      </c>
      <c r="E8" s="5">
        <f t="shared" si="0"/>
        <v>46106</v>
      </c>
      <c r="G8" s="6"/>
    </row>
    <row r="9" spans="1:7" x14ac:dyDescent="0.25">
      <c r="A9" s="3" t="s">
        <v>8</v>
      </c>
      <c r="B9" s="4">
        <v>492926</v>
      </c>
      <c r="C9" s="4">
        <v>701993</v>
      </c>
      <c r="D9" s="4">
        <v>1066845</v>
      </c>
      <c r="E9" s="5">
        <f t="shared" si="0"/>
        <v>1066845</v>
      </c>
      <c r="G9" s="6">
        <f t="shared" si="1"/>
        <v>5.6699251991099375E-2</v>
      </c>
    </row>
    <row r="10" spans="1:7" x14ac:dyDescent="0.25">
      <c r="A10" s="3" t="s">
        <v>9</v>
      </c>
      <c r="B10" s="4">
        <v>251698</v>
      </c>
      <c r="C10" s="4">
        <v>322656</v>
      </c>
      <c r="D10" s="4">
        <v>411357</v>
      </c>
      <c r="E10" s="5">
        <f t="shared" si="0"/>
        <v>411357</v>
      </c>
      <c r="G10" s="6">
        <f t="shared" si="1"/>
        <v>3.5710809945002087E-2</v>
      </c>
    </row>
    <row r="11" spans="1:7" x14ac:dyDescent="0.25">
      <c r="A11" s="3" t="s">
        <v>10</v>
      </c>
      <c r="B11" s="4">
        <v>44702</v>
      </c>
      <c r="C11" s="4">
        <v>69262</v>
      </c>
      <c r="D11" s="4">
        <v>182717</v>
      </c>
      <c r="E11" s="5">
        <f t="shared" si="0"/>
        <v>182717</v>
      </c>
      <c r="G11" s="6">
        <f t="shared" si="1"/>
        <v>0.10579632681631668</v>
      </c>
    </row>
    <row r="12" spans="1:7" x14ac:dyDescent="0.25">
      <c r="A12" s="3" t="s">
        <v>11</v>
      </c>
      <c r="B12" s="4">
        <v>36597</v>
      </c>
      <c r="C12" s="4">
        <v>196297</v>
      </c>
      <c r="D12" s="4">
        <v>451195</v>
      </c>
      <c r="E12" s="5">
        <f t="shared" si="0"/>
        <v>451195</v>
      </c>
      <c r="G12" s="6">
        <f t="shared" si="1"/>
        <v>0.19652773789213063</v>
      </c>
    </row>
    <row r="13" spans="1:7" x14ac:dyDescent="0.25">
      <c r="A13" s="3" t="s">
        <v>12</v>
      </c>
      <c r="B13" s="4">
        <v>590</v>
      </c>
      <c r="C13" s="4">
        <v>4460</v>
      </c>
      <c r="D13" s="4">
        <v>20310</v>
      </c>
      <c r="E13" s="5">
        <f t="shared" si="0"/>
        <v>20310</v>
      </c>
      <c r="G13" s="6">
        <f t="shared" si="1"/>
        <v>0.28758398157199161</v>
      </c>
    </row>
    <row r="14" spans="1:7" x14ac:dyDescent="0.25">
      <c r="A14" s="3" t="s">
        <v>13</v>
      </c>
      <c r="B14" s="4">
        <v>58706</v>
      </c>
      <c r="C14" s="4">
        <v>61286</v>
      </c>
      <c r="D14" s="4">
        <v>78391</v>
      </c>
      <c r="E14" s="5">
        <f t="shared" si="0"/>
        <v>78391</v>
      </c>
      <c r="G14" s="6">
        <f t="shared" si="1"/>
        <v>2.0869585792050671E-2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selection activeCell="E20" sqref="E20"/>
    </sheetView>
  </sheetViews>
  <sheetFormatPr defaultRowHeight="15" x14ac:dyDescent="0.25"/>
  <cols>
    <col min="1" max="1" width="16" customWidth="1"/>
    <col min="2" max="4" width="12" customWidth="1"/>
  </cols>
  <sheetData>
    <row r="1" spans="1:7" x14ac:dyDescent="0.25">
      <c r="A1" s="1" t="s">
        <v>0</v>
      </c>
      <c r="B1" s="2">
        <v>2026</v>
      </c>
      <c r="C1" s="2">
        <v>2030</v>
      </c>
      <c r="D1" s="2">
        <v>2040</v>
      </c>
      <c r="G1" t="s">
        <v>14</v>
      </c>
    </row>
    <row r="2" spans="1:7" x14ac:dyDescent="0.25">
      <c r="A2" s="3" t="s">
        <v>1</v>
      </c>
      <c r="B2" s="4">
        <v>29151</v>
      </c>
      <c r="C2" s="4">
        <v>22288</v>
      </c>
      <c r="D2" s="4">
        <v>0</v>
      </c>
      <c r="E2" s="5">
        <f>D2</f>
        <v>0</v>
      </c>
      <c r="G2" s="6">
        <f>(E2/B2)^(1/(40-26))-1</f>
        <v>-1</v>
      </c>
    </row>
    <row r="3" spans="1:7" x14ac:dyDescent="0.25">
      <c r="A3" s="3" t="s">
        <v>2</v>
      </c>
      <c r="B3" s="4">
        <v>38429</v>
      </c>
      <c r="C3" s="4">
        <v>47601</v>
      </c>
      <c r="D3" s="4">
        <v>68000</v>
      </c>
      <c r="E3" s="5">
        <f>D3+D4</f>
        <v>68200</v>
      </c>
      <c r="G3" s="6">
        <f>(E3/B3)^(1/(40-26))-1</f>
        <v>4.1824733618535559E-2</v>
      </c>
    </row>
    <row r="4" spans="1:7" x14ac:dyDescent="0.25">
      <c r="A4" s="3" t="s">
        <v>3</v>
      </c>
      <c r="B4" s="4">
        <v>0</v>
      </c>
      <c r="C4" s="4">
        <v>0</v>
      </c>
      <c r="D4" s="4">
        <v>200</v>
      </c>
    </row>
    <row r="5" spans="1:7" x14ac:dyDescent="0.25">
      <c r="A5" s="3" t="s">
        <v>4</v>
      </c>
      <c r="B5" s="4">
        <v>11183</v>
      </c>
      <c r="C5" s="4">
        <v>10010</v>
      </c>
      <c r="D5" s="4">
        <v>8943</v>
      </c>
      <c r="E5" s="5">
        <f>D5</f>
        <v>8943</v>
      </c>
      <c r="G5" s="6"/>
    </row>
    <row r="6" spans="1:7" x14ac:dyDescent="0.25">
      <c r="A6" s="3" t="s">
        <v>5</v>
      </c>
      <c r="B6" s="4">
        <v>0</v>
      </c>
      <c r="C6" s="4">
        <v>0</v>
      </c>
      <c r="D6" s="4">
        <v>0</v>
      </c>
      <c r="E6" s="5">
        <f t="shared" ref="E6:E14" si="0">D6</f>
        <v>0</v>
      </c>
      <c r="G6" s="6" t="e">
        <f t="shared" ref="G6:G14" si="1">(E6/B6)^(1/(40-26))-1</f>
        <v>#DIV/0!</v>
      </c>
    </row>
    <row r="7" spans="1:7" x14ac:dyDescent="0.25">
      <c r="A7" s="3" t="s">
        <v>6</v>
      </c>
      <c r="B7" s="4">
        <v>5365</v>
      </c>
      <c r="C7" s="4">
        <v>5390</v>
      </c>
      <c r="D7" s="4">
        <v>5490</v>
      </c>
      <c r="E7" s="5">
        <f t="shared" si="0"/>
        <v>5490</v>
      </c>
      <c r="G7" s="6">
        <f t="shared" si="1"/>
        <v>1.6464882213589327E-3</v>
      </c>
    </row>
    <row r="8" spans="1:7" x14ac:dyDescent="0.25">
      <c r="A8" s="3" t="s">
        <v>7</v>
      </c>
      <c r="B8" s="4">
        <v>9864</v>
      </c>
      <c r="C8" s="4">
        <v>9798</v>
      </c>
      <c r="D8" s="4">
        <v>12052</v>
      </c>
      <c r="E8" s="5">
        <f t="shared" si="0"/>
        <v>12052</v>
      </c>
      <c r="G8" s="6"/>
    </row>
    <row r="9" spans="1:7" x14ac:dyDescent="0.25">
      <c r="A9" s="3" t="s">
        <v>8</v>
      </c>
      <c r="B9" s="4">
        <v>135606</v>
      </c>
      <c r="C9" s="4">
        <v>191027</v>
      </c>
      <c r="D9" s="4">
        <v>253248</v>
      </c>
      <c r="E9" s="5">
        <f t="shared" si="0"/>
        <v>253248</v>
      </c>
      <c r="G9" s="6">
        <f t="shared" si="1"/>
        <v>4.5625636697884664E-2</v>
      </c>
    </row>
    <row r="10" spans="1:7" x14ac:dyDescent="0.25">
      <c r="A10" s="3" t="s">
        <v>9</v>
      </c>
      <c r="B10" s="4">
        <v>75120</v>
      </c>
      <c r="C10" s="4">
        <v>111105</v>
      </c>
      <c r="D10" s="4">
        <v>129393</v>
      </c>
      <c r="E10" s="5">
        <f t="shared" si="0"/>
        <v>129393</v>
      </c>
      <c r="G10" s="6">
        <f t="shared" si="1"/>
        <v>3.9604686890029051E-2</v>
      </c>
    </row>
    <row r="11" spans="1:7" x14ac:dyDescent="0.25">
      <c r="A11" s="3" t="s">
        <v>10</v>
      </c>
      <c r="B11" s="4">
        <v>11290</v>
      </c>
      <c r="C11" s="4">
        <v>16540</v>
      </c>
      <c r="D11" s="4">
        <v>37045</v>
      </c>
      <c r="E11" s="5">
        <f t="shared" si="0"/>
        <v>37045</v>
      </c>
      <c r="G11" s="6">
        <f t="shared" si="1"/>
        <v>8.8578342787128728E-2</v>
      </c>
    </row>
    <row r="12" spans="1:7" x14ac:dyDescent="0.25">
      <c r="A12" s="3" t="s">
        <v>11</v>
      </c>
      <c r="B12" s="4">
        <v>12159</v>
      </c>
      <c r="C12" s="4">
        <v>44403</v>
      </c>
      <c r="D12" s="4">
        <v>90000</v>
      </c>
      <c r="E12" s="5">
        <f t="shared" si="0"/>
        <v>90000</v>
      </c>
      <c r="G12" s="6">
        <f t="shared" si="1"/>
        <v>0.1537083782575468</v>
      </c>
    </row>
    <row r="13" spans="1:7" x14ac:dyDescent="0.25">
      <c r="A13" s="3" t="s">
        <v>12</v>
      </c>
      <c r="B13" s="4">
        <v>50</v>
      </c>
      <c r="C13" s="4">
        <v>390</v>
      </c>
      <c r="D13" s="4">
        <v>1635</v>
      </c>
      <c r="E13" s="5">
        <f t="shared" si="0"/>
        <v>1635</v>
      </c>
      <c r="G13" s="6">
        <f t="shared" si="1"/>
        <v>0.28286802998777993</v>
      </c>
    </row>
    <row r="14" spans="1:7" x14ac:dyDescent="0.25">
      <c r="A14" s="3" t="s">
        <v>13</v>
      </c>
      <c r="B14" s="4">
        <v>9394</v>
      </c>
      <c r="C14" s="4">
        <v>9634</v>
      </c>
      <c r="D14" s="4">
        <v>10134</v>
      </c>
      <c r="E14" s="5">
        <f t="shared" si="0"/>
        <v>10134</v>
      </c>
      <c r="G14" s="6">
        <f t="shared" si="1"/>
        <v>5.4307590734468114E-3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defaultRowHeight="15" x14ac:dyDescent="0.25"/>
  <cols>
    <col min="1" max="1" width="16" customWidth="1"/>
    <col min="2" max="4" width="12" customWidth="1"/>
  </cols>
  <sheetData>
    <row r="1" spans="1:4" x14ac:dyDescent="0.25">
      <c r="A1" s="1" t="s">
        <v>0</v>
      </c>
      <c r="B1" s="2">
        <v>2026</v>
      </c>
      <c r="C1" s="2">
        <v>2030</v>
      </c>
      <c r="D1" s="2">
        <v>2040</v>
      </c>
    </row>
    <row r="2" spans="1:4" x14ac:dyDescent="0.25">
      <c r="A2" s="3" t="s">
        <v>1</v>
      </c>
      <c r="B2" s="4">
        <v>1739</v>
      </c>
      <c r="C2" s="4">
        <v>0</v>
      </c>
      <c r="D2" s="4">
        <v>0</v>
      </c>
    </row>
    <row r="3" spans="1:4" x14ac:dyDescent="0.25">
      <c r="A3" s="3" t="s">
        <v>2</v>
      </c>
      <c r="B3" s="4">
        <v>12892</v>
      </c>
      <c r="C3" s="4">
        <v>14773</v>
      </c>
      <c r="D3" s="4">
        <v>21000</v>
      </c>
    </row>
    <row r="4" spans="1:4" x14ac:dyDescent="0.25">
      <c r="A4" s="3" t="s">
        <v>3</v>
      </c>
      <c r="B4" s="4">
        <v>0</v>
      </c>
      <c r="C4" s="4">
        <v>0</v>
      </c>
      <c r="D4" s="4">
        <v>0</v>
      </c>
    </row>
    <row r="5" spans="1:4" x14ac:dyDescent="0.25">
      <c r="A5" s="3" t="s">
        <v>4</v>
      </c>
      <c r="B5" s="4">
        <v>5944</v>
      </c>
      <c r="C5" s="4">
        <v>5928</v>
      </c>
      <c r="D5" s="4">
        <v>5692</v>
      </c>
    </row>
    <row r="6" spans="1:4" x14ac:dyDescent="0.25">
      <c r="A6" s="3" t="s">
        <v>5</v>
      </c>
      <c r="B6" s="4">
        <v>62970</v>
      </c>
      <c r="C6" s="4">
        <v>62060</v>
      </c>
      <c r="D6" s="4">
        <v>61800</v>
      </c>
    </row>
    <row r="7" spans="1:4" x14ac:dyDescent="0.25">
      <c r="A7" s="3" t="s">
        <v>6</v>
      </c>
      <c r="B7" s="4">
        <v>20688</v>
      </c>
      <c r="C7" s="4">
        <v>21248</v>
      </c>
      <c r="D7" s="4">
        <v>21473</v>
      </c>
    </row>
    <row r="8" spans="1:4" x14ac:dyDescent="0.25">
      <c r="A8" s="3" t="s">
        <v>7</v>
      </c>
      <c r="B8" s="4">
        <v>1413</v>
      </c>
      <c r="C8" s="4">
        <v>1413</v>
      </c>
      <c r="D8" s="4">
        <v>1413</v>
      </c>
    </row>
    <row r="9" spans="1:4" x14ac:dyDescent="0.25">
      <c r="A9" s="3" t="s">
        <v>8</v>
      </c>
      <c r="B9" s="4">
        <v>43089</v>
      </c>
      <c r="C9" s="4">
        <v>54309</v>
      </c>
      <c r="D9" s="4">
        <v>99986</v>
      </c>
    </row>
    <row r="10" spans="1:4" x14ac:dyDescent="0.25">
      <c r="A10" s="3" t="s">
        <v>9</v>
      </c>
      <c r="B10" s="4">
        <v>24780</v>
      </c>
      <c r="C10" s="4">
        <v>27550</v>
      </c>
      <c r="D10" s="4">
        <v>37000</v>
      </c>
    </row>
    <row r="11" spans="1:4" x14ac:dyDescent="0.25">
      <c r="A11" s="3" t="s">
        <v>10</v>
      </c>
      <c r="B11" s="4">
        <v>1718</v>
      </c>
      <c r="C11" s="4">
        <v>2543</v>
      </c>
      <c r="D11" s="4">
        <v>8168</v>
      </c>
    </row>
    <row r="12" spans="1:4" x14ac:dyDescent="0.25">
      <c r="A12" s="3" t="s">
        <v>11</v>
      </c>
      <c r="B12" s="4">
        <v>1070</v>
      </c>
      <c r="C12" s="4">
        <v>7593</v>
      </c>
      <c r="D12" s="4">
        <v>45045</v>
      </c>
    </row>
    <row r="13" spans="1:4" x14ac:dyDescent="0.25">
      <c r="A13" s="3" t="s">
        <v>12</v>
      </c>
      <c r="B13" s="4">
        <v>10</v>
      </c>
      <c r="C13" s="4">
        <v>100</v>
      </c>
      <c r="D13" s="4">
        <v>670</v>
      </c>
    </row>
    <row r="14" spans="1:4" x14ac:dyDescent="0.25">
      <c r="A14" s="3" t="s">
        <v>13</v>
      </c>
      <c r="B14" s="4">
        <v>5061</v>
      </c>
      <c r="C14" s="4">
        <v>5131</v>
      </c>
      <c r="D14" s="4">
        <v>7281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/>
  </sheetViews>
  <sheetFormatPr defaultRowHeight="15" x14ac:dyDescent="0.25"/>
  <cols>
    <col min="1" max="1" width="16" customWidth="1"/>
    <col min="2" max="4" width="12" customWidth="1"/>
  </cols>
  <sheetData>
    <row r="1" spans="1:4" x14ac:dyDescent="0.25">
      <c r="A1" s="1" t="s">
        <v>0</v>
      </c>
      <c r="B1" s="2">
        <v>2026</v>
      </c>
      <c r="C1" s="2">
        <v>2030</v>
      </c>
      <c r="D1" s="2">
        <v>2040</v>
      </c>
    </row>
    <row r="2" spans="1:4" x14ac:dyDescent="0.25">
      <c r="A2" s="3" t="s">
        <v>1</v>
      </c>
      <c r="B2" s="4">
        <v>7</v>
      </c>
      <c r="C2" s="4">
        <v>7</v>
      </c>
      <c r="D2" s="4">
        <v>7</v>
      </c>
    </row>
    <row r="3" spans="1:4" x14ac:dyDescent="0.25">
      <c r="A3" s="3" t="s">
        <v>2</v>
      </c>
      <c r="B3" s="4">
        <v>34995</v>
      </c>
      <c r="C3" s="4">
        <v>39273</v>
      </c>
      <c r="D3" s="4">
        <v>56658</v>
      </c>
    </row>
    <row r="4" spans="1:4" x14ac:dyDescent="0.25">
      <c r="A4" s="3" t="s">
        <v>3</v>
      </c>
      <c r="B4" s="4">
        <v>0</v>
      </c>
      <c r="C4" s="4">
        <v>0</v>
      </c>
      <c r="D4" s="4">
        <v>3200</v>
      </c>
    </row>
    <row r="5" spans="1:4" x14ac:dyDescent="0.25">
      <c r="A5" s="3" t="s">
        <v>4</v>
      </c>
      <c r="B5" s="4">
        <v>2288</v>
      </c>
      <c r="C5" s="4">
        <v>1818</v>
      </c>
      <c r="D5" s="4">
        <v>2564</v>
      </c>
    </row>
    <row r="6" spans="1:4" x14ac:dyDescent="0.25">
      <c r="A6" s="3" t="s">
        <v>5</v>
      </c>
      <c r="B6" s="4">
        <v>5900</v>
      </c>
      <c r="C6" s="4">
        <v>5900</v>
      </c>
      <c r="D6" s="4">
        <v>9160</v>
      </c>
    </row>
    <row r="7" spans="1:4" x14ac:dyDescent="0.25">
      <c r="A7" s="3" t="s">
        <v>6</v>
      </c>
      <c r="B7" s="4">
        <v>1897</v>
      </c>
      <c r="C7" s="4">
        <v>1954</v>
      </c>
      <c r="D7" s="4">
        <v>2005</v>
      </c>
    </row>
    <row r="8" spans="1:4" x14ac:dyDescent="0.25">
      <c r="A8" s="3" t="s">
        <v>7</v>
      </c>
      <c r="B8" s="4">
        <v>6796</v>
      </c>
      <c r="C8" s="4">
        <v>7066</v>
      </c>
      <c r="D8" s="4">
        <v>7496</v>
      </c>
    </row>
    <row r="9" spans="1:4" x14ac:dyDescent="0.25">
      <c r="A9" s="3" t="s">
        <v>8</v>
      </c>
      <c r="B9" s="4">
        <v>23614</v>
      </c>
      <c r="C9" s="4">
        <v>37237</v>
      </c>
      <c r="D9" s="4">
        <v>55241</v>
      </c>
    </row>
    <row r="10" spans="1:4" x14ac:dyDescent="0.25">
      <c r="A10" s="3" t="s">
        <v>9</v>
      </c>
      <c r="B10" s="4">
        <v>17170</v>
      </c>
      <c r="C10" s="4">
        <v>19778</v>
      </c>
      <c r="D10" s="4">
        <v>20720</v>
      </c>
    </row>
    <row r="11" spans="1:4" x14ac:dyDescent="0.25">
      <c r="A11" s="3" t="s">
        <v>10</v>
      </c>
      <c r="B11" s="4">
        <v>19439</v>
      </c>
      <c r="C11" s="4">
        <v>31514</v>
      </c>
      <c r="D11" s="4">
        <v>70514</v>
      </c>
    </row>
    <row r="12" spans="1:4" x14ac:dyDescent="0.25">
      <c r="A12" s="3" t="s">
        <v>11</v>
      </c>
      <c r="B12" s="4">
        <v>7272</v>
      </c>
      <c r="C12" s="4">
        <v>41649</v>
      </c>
      <c r="D12" s="4">
        <v>59577</v>
      </c>
    </row>
    <row r="13" spans="1:4" x14ac:dyDescent="0.25">
      <c r="A13" s="3" t="s">
        <v>12</v>
      </c>
      <c r="B13" s="4">
        <v>280</v>
      </c>
      <c r="C13" s="4">
        <v>1990</v>
      </c>
      <c r="D13" s="4">
        <v>6675</v>
      </c>
    </row>
    <row r="14" spans="1:4" x14ac:dyDescent="0.25">
      <c r="A14" s="3" t="s">
        <v>13</v>
      </c>
      <c r="B14" s="4">
        <v>2900</v>
      </c>
      <c r="C14" s="4">
        <v>3060</v>
      </c>
      <c r="D14" s="4">
        <v>8035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/>
  </sheetViews>
  <sheetFormatPr defaultRowHeight="15" x14ac:dyDescent="0.25"/>
  <cols>
    <col min="1" max="1" width="16" customWidth="1"/>
    <col min="2" max="4" width="12" customWidth="1"/>
  </cols>
  <sheetData>
    <row r="1" spans="1:4" x14ac:dyDescent="0.25">
      <c r="A1" s="1" t="s">
        <v>0</v>
      </c>
      <c r="B1" s="2">
        <v>2026</v>
      </c>
      <c r="C1" s="2">
        <v>2030</v>
      </c>
      <c r="D1" s="2">
        <v>2040</v>
      </c>
    </row>
    <row r="2" spans="1:4" x14ac:dyDescent="0.25">
      <c r="A2" s="3" t="s">
        <v>1</v>
      </c>
      <c r="B2" s="4">
        <v>4912</v>
      </c>
      <c r="C2" s="4">
        <v>4912</v>
      </c>
      <c r="D2" s="4">
        <v>0</v>
      </c>
    </row>
    <row r="3" spans="1:4" x14ac:dyDescent="0.25">
      <c r="A3" s="3" t="s">
        <v>2</v>
      </c>
      <c r="B3" s="4">
        <v>55801</v>
      </c>
      <c r="C3" s="4">
        <v>55832</v>
      </c>
      <c r="D3" s="4">
        <v>49000</v>
      </c>
    </row>
    <row r="4" spans="1:4" x14ac:dyDescent="0.25">
      <c r="A4" s="3" t="s">
        <v>3</v>
      </c>
      <c r="B4" s="4">
        <v>0</v>
      </c>
      <c r="C4" s="4">
        <v>0</v>
      </c>
      <c r="D4" s="4">
        <v>0</v>
      </c>
    </row>
    <row r="5" spans="1:4" x14ac:dyDescent="0.25">
      <c r="A5" s="3" t="s">
        <v>4</v>
      </c>
      <c r="B5" s="4">
        <v>3530</v>
      </c>
      <c r="C5" s="4">
        <v>2900</v>
      </c>
      <c r="D5" s="4">
        <v>2911</v>
      </c>
    </row>
    <row r="6" spans="1:4" x14ac:dyDescent="0.25">
      <c r="A6" s="3" t="s">
        <v>5</v>
      </c>
      <c r="B6" s="4">
        <v>0</v>
      </c>
      <c r="C6" s="4">
        <v>0</v>
      </c>
      <c r="D6" s="4">
        <v>0</v>
      </c>
    </row>
    <row r="7" spans="1:4" x14ac:dyDescent="0.25">
      <c r="A7" s="3" t="s">
        <v>6</v>
      </c>
      <c r="B7" s="4">
        <v>14905</v>
      </c>
      <c r="C7" s="4">
        <v>15065</v>
      </c>
      <c r="D7" s="4">
        <v>15515</v>
      </c>
    </row>
    <row r="8" spans="1:4" x14ac:dyDescent="0.25">
      <c r="A8" s="3" t="s">
        <v>7</v>
      </c>
      <c r="B8" s="4">
        <v>4115</v>
      </c>
      <c r="C8" s="4">
        <v>4115</v>
      </c>
      <c r="D8" s="4">
        <v>4285</v>
      </c>
    </row>
    <row r="9" spans="1:4" x14ac:dyDescent="0.25">
      <c r="A9" s="3" t="s">
        <v>8</v>
      </c>
      <c r="B9" s="4">
        <v>52448</v>
      </c>
      <c r="C9" s="4">
        <v>80062</v>
      </c>
      <c r="D9" s="4">
        <v>142983</v>
      </c>
    </row>
    <row r="10" spans="1:4" x14ac:dyDescent="0.25">
      <c r="A10" s="3" t="s">
        <v>9</v>
      </c>
      <c r="B10" s="4">
        <v>13660</v>
      </c>
      <c r="C10" s="4">
        <v>17215</v>
      </c>
      <c r="D10" s="4">
        <v>32000</v>
      </c>
    </row>
    <row r="11" spans="1:4" x14ac:dyDescent="0.25">
      <c r="A11" s="3" t="s">
        <v>10</v>
      </c>
      <c r="B11" s="4">
        <v>30</v>
      </c>
      <c r="C11" s="4">
        <v>30</v>
      </c>
      <c r="D11" s="4">
        <v>2280</v>
      </c>
    </row>
    <row r="12" spans="1:4" x14ac:dyDescent="0.25">
      <c r="A12" s="3" t="s">
        <v>11</v>
      </c>
      <c r="B12" s="4">
        <v>5154</v>
      </c>
      <c r="C12" s="4">
        <v>20748</v>
      </c>
      <c r="D12" s="4">
        <v>39774</v>
      </c>
    </row>
    <row r="13" spans="1:4" x14ac:dyDescent="0.25">
      <c r="A13" s="3" t="s">
        <v>12</v>
      </c>
      <c r="B13" s="4">
        <v>130</v>
      </c>
      <c r="C13" s="4">
        <v>885</v>
      </c>
      <c r="D13" s="4">
        <v>3765</v>
      </c>
    </row>
    <row r="14" spans="1:4" x14ac:dyDescent="0.25">
      <c r="A14" s="3" t="s">
        <v>13</v>
      </c>
      <c r="B14" s="4">
        <v>7245</v>
      </c>
      <c r="C14" s="4">
        <v>7270</v>
      </c>
      <c r="D14" s="4">
        <v>8010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/>
  </sheetViews>
  <sheetFormatPr defaultRowHeight="15" x14ac:dyDescent="0.25"/>
  <cols>
    <col min="1" max="1" width="16" customWidth="1"/>
    <col min="2" max="4" width="12" customWidth="1"/>
  </cols>
  <sheetData>
    <row r="1" spans="1:4" x14ac:dyDescent="0.25">
      <c r="A1" s="1" t="s">
        <v>0</v>
      </c>
      <c r="B1" s="2">
        <v>2026</v>
      </c>
      <c r="C1" s="2">
        <v>2030</v>
      </c>
      <c r="D1" s="2">
        <v>2040</v>
      </c>
    </row>
    <row r="2" spans="1:4" x14ac:dyDescent="0.25">
      <c r="A2" s="3" t="s">
        <v>1</v>
      </c>
      <c r="B2" s="4">
        <v>1747</v>
      </c>
      <c r="C2" s="4">
        <v>0</v>
      </c>
      <c r="D2" s="4">
        <v>0</v>
      </c>
    </row>
    <row r="3" spans="1:4" x14ac:dyDescent="0.25">
      <c r="A3" s="3" t="s">
        <v>2</v>
      </c>
      <c r="B3" s="4">
        <v>29701</v>
      </c>
      <c r="C3" s="4">
        <v>28830</v>
      </c>
      <c r="D3" s="4">
        <v>27000</v>
      </c>
    </row>
    <row r="4" spans="1:4" x14ac:dyDescent="0.25">
      <c r="A4" s="3" t="s">
        <v>3</v>
      </c>
      <c r="B4" s="4">
        <v>0</v>
      </c>
      <c r="C4" s="4">
        <v>0</v>
      </c>
      <c r="D4" s="4">
        <v>0</v>
      </c>
    </row>
    <row r="5" spans="1:4" x14ac:dyDescent="0.25">
      <c r="A5" s="3" t="s">
        <v>4</v>
      </c>
      <c r="B5" s="4">
        <v>1969</v>
      </c>
      <c r="C5" s="4">
        <v>1969</v>
      </c>
      <c r="D5" s="4">
        <v>2160</v>
      </c>
    </row>
    <row r="6" spans="1:4" x14ac:dyDescent="0.25">
      <c r="A6" s="3" t="s">
        <v>5</v>
      </c>
      <c r="B6" s="4">
        <v>7385</v>
      </c>
      <c r="C6" s="4">
        <v>3165</v>
      </c>
      <c r="D6" s="4">
        <v>3165</v>
      </c>
    </row>
    <row r="7" spans="1:4" x14ac:dyDescent="0.25">
      <c r="A7" s="3" t="s">
        <v>6</v>
      </c>
      <c r="B7" s="4">
        <v>16939</v>
      </c>
      <c r="C7" s="4">
        <v>17054</v>
      </c>
      <c r="D7" s="4">
        <v>17174</v>
      </c>
    </row>
    <row r="8" spans="1:4" x14ac:dyDescent="0.25">
      <c r="A8" s="3" t="s">
        <v>7</v>
      </c>
      <c r="B8" s="4">
        <v>1115</v>
      </c>
      <c r="C8" s="4">
        <v>1115</v>
      </c>
      <c r="D8" s="4">
        <v>1115</v>
      </c>
    </row>
    <row r="9" spans="1:4" x14ac:dyDescent="0.25">
      <c r="A9" s="3" t="s">
        <v>8</v>
      </c>
      <c r="B9" s="4">
        <v>65856</v>
      </c>
      <c r="C9" s="4">
        <v>86388</v>
      </c>
      <c r="D9" s="4">
        <v>114630</v>
      </c>
    </row>
    <row r="10" spans="1:4" x14ac:dyDescent="0.25">
      <c r="A10" s="3" t="s">
        <v>9</v>
      </c>
      <c r="B10" s="4">
        <v>33949</v>
      </c>
      <c r="C10" s="4">
        <v>41594</v>
      </c>
      <c r="D10" s="4">
        <v>56625</v>
      </c>
    </row>
    <row r="11" spans="1:4" x14ac:dyDescent="0.25">
      <c r="A11" s="3" t="s">
        <v>10</v>
      </c>
      <c r="B11" s="4">
        <v>0</v>
      </c>
      <c r="C11" s="4">
        <v>0</v>
      </c>
      <c r="D11" s="4">
        <v>3000</v>
      </c>
    </row>
    <row r="12" spans="1:4" x14ac:dyDescent="0.25">
      <c r="A12" s="3" t="s">
        <v>11</v>
      </c>
      <c r="B12" s="4">
        <v>1995</v>
      </c>
      <c r="C12" s="4">
        <v>12839</v>
      </c>
      <c r="D12" s="4">
        <v>40566</v>
      </c>
    </row>
    <row r="13" spans="1:4" x14ac:dyDescent="0.25">
      <c r="A13" s="3" t="s">
        <v>12</v>
      </c>
      <c r="B13" s="4">
        <v>60</v>
      </c>
      <c r="C13" s="4">
        <v>460</v>
      </c>
      <c r="D13" s="4">
        <v>2730</v>
      </c>
    </row>
    <row r="14" spans="1:4" x14ac:dyDescent="0.25">
      <c r="A14" s="3" t="s">
        <v>13</v>
      </c>
      <c r="B14" s="4">
        <v>3781</v>
      </c>
      <c r="C14" s="4">
        <v>5246</v>
      </c>
      <c r="D14" s="4">
        <v>7236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/>
  </sheetViews>
  <sheetFormatPr defaultRowHeight="15" x14ac:dyDescent="0.25"/>
  <cols>
    <col min="1" max="1" width="16" customWidth="1"/>
    <col min="2" max="4" width="12" customWidth="1"/>
  </cols>
  <sheetData>
    <row r="1" spans="1:4" x14ac:dyDescent="0.25">
      <c r="A1" s="1" t="s">
        <v>0</v>
      </c>
      <c r="B1" s="2">
        <v>2026</v>
      </c>
      <c r="C1" s="2">
        <v>2030</v>
      </c>
      <c r="D1" s="2">
        <v>2040</v>
      </c>
    </row>
    <row r="2" spans="1:4" x14ac:dyDescent="0.25">
      <c r="A2" s="3" t="s">
        <v>1</v>
      </c>
      <c r="B2" s="4">
        <v>25129</v>
      </c>
      <c r="C2" s="4">
        <v>20406</v>
      </c>
      <c r="D2" s="4">
        <v>10216</v>
      </c>
    </row>
    <row r="3" spans="1:4" x14ac:dyDescent="0.25">
      <c r="A3" s="3" t="s">
        <v>2</v>
      </c>
      <c r="B3" s="4">
        <v>6190</v>
      </c>
      <c r="C3" s="4">
        <v>13758</v>
      </c>
      <c r="D3" s="4">
        <v>23525</v>
      </c>
    </row>
    <row r="4" spans="1:4" x14ac:dyDescent="0.25">
      <c r="A4" s="3" t="s">
        <v>3</v>
      </c>
      <c r="B4" s="4">
        <v>0</v>
      </c>
      <c r="C4" s="4">
        <v>0</v>
      </c>
      <c r="D4" s="4">
        <v>0</v>
      </c>
    </row>
    <row r="5" spans="1:4" x14ac:dyDescent="0.25">
      <c r="A5" s="3" t="s">
        <v>4</v>
      </c>
      <c r="B5" s="4">
        <v>2131</v>
      </c>
      <c r="C5" s="4">
        <v>2131</v>
      </c>
      <c r="D5" s="4">
        <v>2131</v>
      </c>
    </row>
    <row r="6" spans="1:4" x14ac:dyDescent="0.25">
      <c r="A6" s="3" t="s">
        <v>5</v>
      </c>
      <c r="B6" s="4">
        <v>0</v>
      </c>
      <c r="C6" s="4">
        <v>0</v>
      </c>
      <c r="D6" s="4">
        <v>2800</v>
      </c>
    </row>
    <row r="7" spans="1:4" x14ac:dyDescent="0.25">
      <c r="A7" s="3" t="s">
        <v>6</v>
      </c>
      <c r="B7" s="4">
        <v>790</v>
      </c>
      <c r="C7" s="4">
        <v>790</v>
      </c>
      <c r="D7" s="4">
        <v>790</v>
      </c>
    </row>
    <row r="8" spans="1:4" x14ac:dyDescent="0.25">
      <c r="A8" s="3" t="s">
        <v>7</v>
      </c>
      <c r="B8" s="4">
        <v>1480</v>
      </c>
      <c r="C8" s="4">
        <v>2080</v>
      </c>
      <c r="D8" s="4">
        <v>3580</v>
      </c>
    </row>
    <row r="9" spans="1:4" x14ac:dyDescent="0.25">
      <c r="A9" s="3" t="s">
        <v>8</v>
      </c>
      <c r="B9" s="4">
        <v>28100</v>
      </c>
      <c r="C9" s="4">
        <v>40200</v>
      </c>
      <c r="D9" s="4">
        <v>59991</v>
      </c>
    </row>
    <row r="10" spans="1:4" x14ac:dyDescent="0.25">
      <c r="A10" s="3" t="s">
        <v>9</v>
      </c>
      <c r="B10" s="4">
        <v>10449</v>
      </c>
      <c r="C10" s="4">
        <v>12209</v>
      </c>
      <c r="D10" s="4">
        <v>15436</v>
      </c>
    </row>
    <row r="11" spans="1:4" x14ac:dyDescent="0.25">
      <c r="A11" s="3" t="s">
        <v>10</v>
      </c>
      <c r="B11" s="4">
        <v>920</v>
      </c>
      <c r="C11" s="4">
        <v>4240</v>
      </c>
      <c r="D11" s="4">
        <v>12285</v>
      </c>
    </row>
    <row r="12" spans="1:4" x14ac:dyDescent="0.25">
      <c r="A12" s="3" t="s">
        <v>11</v>
      </c>
      <c r="B12" s="4">
        <v>607</v>
      </c>
      <c r="C12" s="4">
        <v>10262</v>
      </c>
      <c r="D12" s="4">
        <v>26702</v>
      </c>
    </row>
    <row r="13" spans="1:4" x14ac:dyDescent="0.25">
      <c r="A13" s="3" t="s">
        <v>12</v>
      </c>
      <c r="B13" s="4">
        <v>0</v>
      </c>
      <c r="C13" s="4">
        <v>30</v>
      </c>
      <c r="D13" s="4">
        <v>665</v>
      </c>
    </row>
    <row r="14" spans="1:4" x14ac:dyDescent="0.25">
      <c r="A14" s="3" t="s">
        <v>13</v>
      </c>
      <c r="B14" s="4">
        <v>1525</v>
      </c>
      <c r="C14" s="4">
        <v>1600</v>
      </c>
      <c r="D14" s="4">
        <v>3870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workbookViewId="0"/>
  </sheetViews>
  <sheetFormatPr defaultRowHeight="15" x14ac:dyDescent="0.25"/>
  <cols>
    <col min="1" max="1" width="16" customWidth="1"/>
    <col min="2" max="4" width="12" customWidth="1"/>
  </cols>
  <sheetData>
    <row r="1" spans="1:4" x14ac:dyDescent="0.25">
      <c r="A1" s="1" t="s">
        <v>0</v>
      </c>
      <c r="B1" s="2">
        <v>2026</v>
      </c>
      <c r="C1" s="2">
        <v>2030</v>
      </c>
      <c r="D1" s="2">
        <v>2040</v>
      </c>
    </row>
    <row r="2" spans="1:4" x14ac:dyDescent="0.25">
      <c r="A2" s="3" t="s">
        <v>1</v>
      </c>
      <c r="B2" s="4">
        <v>26117</v>
      </c>
      <c r="C2" s="4">
        <v>10580</v>
      </c>
      <c r="D2" s="4">
        <v>2619</v>
      </c>
    </row>
    <row r="3" spans="1:4" x14ac:dyDescent="0.25">
      <c r="A3" s="3" t="s">
        <v>2</v>
      </c>
      <c r="B3" s="4">
        <v>64287</v>
      </c>
      <c r="C3" s="4">
        <v>73682</v>
      </c>
      <c r="D3" s="4">
        <v>94000</v>
      </c>
    </row>
    <row r="4" spans="1:4" x14ac:dyDescent="0.25">
      <c r="A4" s="3" t="s">
        <v>3</v>
      </c>
      <c r="B4" s="4">
        <v>0</v>
      </c>
      <c r="C4" s="4">
        <v>0</v>
      </c>
      <c r="D4" s="4">
        <v>1000</v>
      </c>
    </row>
    <row r="5" spans="1:4" x14ac:dyDescent="0.25">
      <c r="A5" s="3" t="s">
        <v>4</v>
      </c>
      <c r="B5" s="4">
        <v>17544</v>
      </c>
      <c r="C5" s="4">
        <v>16384</v>
      </c>
      <c r="D5" s="4">
        <v>14697</v>
      </c>
    </row>
    <row r="6" spans="1:4" x14ac:dyDescent="0.25">
      <c r="A6" s="3" t="s">
        <v>5</v>
      </c>
      <c r="B6" s="4">
        <v>25989</v>
      </c>
      <c r="C6" s="4">
        <v>26897</v>
      </c>
      <c r="D6" s="4">
        <v>29105</v>
      </c>
    </row>
    <row r="7" spans="1:4" x14ac:dyDescent="0.25">
      <c r="A7" s="3" t="s">
        <v>6</v>
      </c>
      <c r="B7" s="4">
        <v>50117</v>
      </c>
      <c r="C7" s="4">
        <v>50848</v>
      </c>
      <c r="D7" s="4">
        <v>52002</v>
      </c>
    </row>
    <row r="8" spans="1:4" x14ac:dyDescent="0.25">
      <c r="A8" s="3" t="s">
        <v>7</v>
      </c>
      <c r="B8" s="4">
        <v>15122</v>
      </c>
      <c r="C8" s="4">
        <v>14887</v>
      </c>
      <c r="D8" s="4">
        <v>16165</v>
      </c>
    </row>
    <row r="9" spans="1:4" x14ac:dyDescent="0.25">
      <c r="A9" s="3" t="s">
        <v>8</v>
      </c>
      <c r="B9" s="4">
        <v>144212</v>
      </c>
      <c r="C9" s="4">
        <v>212769</v>
      </c>
      <c r="D9" s="4">
        <v>340766</v>
      </c>
    </row>
    <row r="10" spans="1:4" x14ac:dyDescent="0.25">
      <c r="A10" s="3" t="s">
        <v>9</v>
      </c>
      <c r="B10" s="4">
        <v>76570</v>
      </c>
      <c r="C10" s="4">
        <v>93205</v>
      </c>
      <c r="D10" s="4">
        <v>120182</v>
      </c>
    </row>
    <row r="11" spans="1:4" x14ac:dyDescent="0.25">
      <c r="A11" s="3" t="s">
        <v>10</v>
      </c>
      <c r="B11" s="4">
        <v>11305</v>
      </c>
      <c r="C11" s="4">
        <v>14395</v>
      </c>
      <c r="D11" s="4">
        <v>49424</v>
      </c>
    </row>
    <row r="12" spans="1:4" x14ac:dyDescent="0.25">
      <c r="A12" s="3" t="s">
        <v>11</v>
      </c>
      <c r="B12" s="4">
        <v>8340</v>
      </c>
      <c r="C12" s="4">
        <v>58803</v>
      </c>
      <c r="D12" s="4">
        <v>149531</v>
      </c>
    </row>
    <row r="13" spans="1:4" x14ac:dyDescent="0.25">
      <c r="A13" s="3" t="s">
        <v>12</v>
      </c>
      <c r="B13" s="4">
        <v>60</v>
      </c>
      <c r="C13" s="4">
        <v>605</v>
      </c>
      <c r="D13" s="4">
        <v>4170</v>
      </c>
    </row>
    <row r="14" spans="1:4" x14ac:dyDescent="0.25">
      <c r="A14" s="3" t="s">
        <v>13</v>
      </c>
      <c r="B14" s="4">
        <v>28800</v>
      </c>
      <c r="C14" s="4">
        <v>29345</v>
      </c>
      <c r="D14" s="4">
        <v>33825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ADAD4575580A45A32A311003C10D23" ma:contentTypeVersion="20" ma:contentTypeDescription="Create a new document." ma:contentTypeScope="" ma:versionID="c95172af52a8cb683b625f132fc527b9">
  <xsd:schema xmlns:xsd="http://www.w3.org/2001/XMLSchema" xmlns:xs="http://www.w3.org/2001/XMLSchema" xmlns:p="http://schemas.microsoft.com/office/2006/metadata/properties" xmlns:ns2="18eb8153-de22-41f9-a070-d3213110d4de" xmlns:ns3="0924a333-5de6-45ad-be92-5bfffb577cfe" targetNamespace="http://schemas.microsoft.com/office/2006/metadata/properties" ma:root="true" ma:fieldsID="b16558e861352359245934334057cbfa" ns2:_="" ns3:_="">
    <xsd:import namespace="18eb8153-de22-41f9-a070-d3213110d4de"/>
    <xsd:import namespace="0924a333-5de6-45ad-be92-5bfffb577c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Provider" minOccurs="0"/>
                <xsd:element ref="ns2:Module" minOccurs="0"/>
                <xsd:element ref="ns2:Email_x0020_address_x0020_of_x0020_the_x0020_user" minOccurs="0"/>
                <xsd:element ref="ns2:Owner_x0020_of_x0020_the_x0020_license_x0028_s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eb8153-de22-41f9-a070-d3213110d4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c99958-89fd-40bf-a91d-c8fefae10c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Provider" ma:index="24" nillable="true" ma:displayName="Provider" ma:format="Dropdown" ma:internalName="Provider">
      <xsd:simpleType>
        <xsd:restriction base="dms:Choice">
          <xsd:enumeration value="AlphaSense"/>
          <xsd:enumeration value="BNEF"/>
          <xsd:enumeration value="S&amp;P CapIQ"/>
        </xsd:restriction>
      </xsd:simpleType>
    </xsd:element>
    <xsd:element name="Module" ma:index="25" nillable="true" ma:displayName="Module" ma:internalName="Module">
      <xsd:simpleType>
        <xsd:restriction base="dms:Text"/>
      </xsd:simpleType>
    </xsd:element>
    <xsd:element name="Email_x0020_address_x0020_of_x0020_the_x0020_user" ma:index="26" nillable="true" ma:displayName="Email address of the user" ma:format="Dropdown" ma:internalName="Email_x0020_address_x0020_of_x0020_the_x0020_user">
      <xsd:simpleType>
        <xsd:restriction base="dms:Text">
          <xsd:maxLength value="255"/>
        </xsd:restriction>
      </xsd:simpleType>
    </xsd:element>
    <xsd:element name="Owner_x0020_of_x0020_the_x0020_license_x0028_s_x0029_" ma:index="27" nillable="true" ma:displayName="Owner of the license(s)" ma:format="Dropdown" ma:list="UserInfo" ma:SharePointGroup="0" ma:internalName="Owner_x0020_of_x0020_the_x0020_license_x0028_s_x0029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4a333-5de6-45ad-be92-5bfffb577cf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4389379-6b59-4203-b744-5dd4337e0698}" ma:internalName="TaxCatchAll" ma:showField="CatchAllData" ma:web="0924a333-5de6-45ad-be92-5bfffb577c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vider xmlns="18eb8153-de22-41f9-a070-d3213110d4de" xsi:nil="true"/>
    <Email_x0020_address_x0020_of_x0020_the_x0020_user xmlns="18eb8153-de22-41f9-a070-d3213110d4de" xsi:nil="true"/>
    <Module xmlns="18eb8153-de22-41f9-a070-d3213110d4de" xsi:nil="true"/>
    <lcf76f155ced4ddcb4097134ff3c332f xmlns="18eb8153-de22-41f9-a070-d3213110d4de">
      <Terms xmlns="http://schemas.microsoft.com/office/infopath/2007/PartnerControls"/>
    </lcf76f155ced4ddcb4097134ff3c332f>
    <TaxCatchAll xmlns="0924a333-5de6-45ad-be92-5bfffb577cfe" xsi:nil="true"/>
    <Owner_x0020_of_x0020_the_x0020_license_x0028_s_x0029_ xmlns="18eb8153-de22-41f9-a070-d3213110d4de">
      <UserInfo>
        <DisplayName/>
        <AccountId xsi:nil="true"/>
        <AccountType/>
      </UserInfo>
    </Owner_x0020_of_x0020_the_x0020_license_x0028_s_x0029_>
  </documentManagement>
</p:properties>
</file>

<file path=customXml/itemProps1.xml><?xml version="1.0" encoding="utf-8"?>
<ds:datastoreItem xmlns:ds="http://schemas.openxmlformats.org/officeDocument/2006/customXml" ds:itemID="{A8EC6C51-2BE2-4330-8DE4-2A8589596A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eb8153-de22-41f9-a070-d3213110d4de"/>
    <ds:schemaRef ds:uri="0924a333-5de6-45ad-be92-5bfffb577c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F3998B-53D2-4694-B13B-40E026B889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F223E9-76CE-4D8D-B326-CDDE8F987FD8}">
  <ds:schemaRefs>
    <ds:schemaRef ds:uri="http://schemas.microsoft.com/office/2006/metadata/properties"/>
    <ds:schemaRef ds:uri="http://schemas.microsoft.com/office/infopath/2007/PartnerControls"/>
    <ds:schemaRef ds:uri="18eb8153-de22-41f9-a070-d3213110d4de"/>
    <ds:schemaRef ds:uri="0924a333-5de6-45ad-be92-5bfffb577c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 EU</vt:lpstr>
      <vt:lpstr>Germany</vt:lpstr>
      <vt:lpstr>France</vt:lpstr>
      <vt:lpstr>Great Britain</vt:lpstr>
      <vt:lpstr>Italy</vt:lpstr>
      <vt:lpstr>Spain</vt:lpstr>
      <vt:lpstr>Poland</vt:lpstr>
      <vt:lpstr>Other 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Loeffler, Konstantin Emanuel</cp:lastModifiedBy>
  <dcterms:created xsi:type="dcterms:W3CDTF">2026-06-19T08:43:11Z</dcterms:created>
  <dcterms:modified xsi:type="dcterms:W3CDTF">2026-06-19T15:48:33Z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fac670-6c08-454c-9763-546258b8d606_ActionId">
    <vt:lpwstr>bbf193a1-2cb9-4764-8608-2b238076a03e</vt:lpwstr>
  </property>
  <property fmtid="{D5CDD505-2E9C-101B-9397-08002B2CF9AE}" pid="3" name="MSIP_Label_59844090-d756-4ce6-b8ef-4e0e3f430d0e_Name">
    <vt:lpwstr>Confidential \ Confidential Unencrypted</vt:lpwstr>
  </property>
  <property fmtid="{D5CDD505-2E9C-101B-9397-08002B2CF9AE}" pid="4" name="ContentTypeId">
    <vt:lpwstr>0x01010082ADAD4575580A45A32A311003C10D23</vt:lpwstr>
  </property>
  <property fmtid="{D5CDD505-2E9C-101B-9397-08002B2CF9AE}" pid="5" name="MSIP_Label_37fac670-6c08-454c-9763-546258b8d606_SiteId">
    <vt:lpwstr>254ba93e-1f6f-48f3-90e6-e2766664b477</vt:lpwstr>
  </property>
  <property fmtid="{D5CDD505-2E9C-101B-9397-08002B2CF9AE}" pid="6" name="MSIP_Label_59844090-d756-4ce6-b8ef-4e0e3f430d0e_Parent">
    <vt:lpwstr>37fac670-6c08-454c-9763-546258b8d606</vt:lpwstr>
  </property>
  <property fmtid="{D5CDD505-2E9C-101B-9397-08002B2CF9AE}" pid="7" name="MSIP_Label_59844090-d756-4ce6-b8ef-4e0e3f430d0e_Removed">
    <vt:lpwstr>False</vt:lpwstr>
  </property>
  <property fmtid="{D5CDD505-2E9C-101B-9397-08002B2CF9AE}" pid="8" name="MSIP_Label_37fac670-6c08-454c-9763-546258b8d606_Enabled">
    <vt:lpwstr>True</vt:lpwstr>
  </property>
  <property fmtid="{D5CDD505-2E9C-101B-9397-08002B2CF9AE}" pid="9" name="MSIP_Label_59844090-d756-4ce6-b8ef-4e0e3f430d0e_Enabled">
    <vt:lpwstr>True</vt:lpwstr>
  </property>
  <property fmtid="{D5CDD505-2E9C-101B-9397-08002B2CF9AE}" pid="10" name="Sensitivity">
    <vt:lpwstr>Confidential \ Confidential Unencrypted Confidential</vt:lpwstr>
  </property>
  <property fmtid="{D5CDD505-2E9C-101B-9397-08002B2CF9AE}" pid="11" name="MSIP_Label_37fac670-6c08-454c-9763-546258b8d606_Name">
    <vt:lpwstr>Confidential</vt:lpwstr>
  </property>
  <property fmtid="{D5CDD505-2E9C-101B-9397-08002B2CF9AE}" pid="12" name="MSIP_Label_37fac670-6c08-454c-9763-546258b8d606_SetDate">
    <vt:lpwstr>2026-06-19T08:34:38Z</vt:lpwstr>
  </property>
  <property fmtid="{D5CDD505-2E9C-101B-9397-08002B2CF9AE}" pid="13" name="MSIP_Label_59844090-d756-4ce6-b8ef-4e0e3f430d0e_SetDate">
    <vt:lpwstr>2026-06-19T08:34:38Z</vt:lpwstr>
  </property>
  <property fmtid="{D5CDD505-2E9C-101B-9397-08002B2CF9AE}" pid="14" name="MSIP_Label_59844090-d756-4ce6-b8ef-4e0e3f430d0e_Extended_MSFT_Method">
    <vt:lpwstr>Standard</vt:lpwstr>
  </property>
  <property fmtid="{D5CDD505-2E9C-101B-9397-08002B2CF9AE}" pid="15" name="MSIP_Label_37fac670-6c08-454c-9763-546258b8d606_Extended_MSFT_Method">
    <vt:lpwstr>Standard</vt:lpwstr>
  </property>
  <property fmtid="{D5CDD505-2E9C-101B-9397-08002B2CF9AE}" pid="16" name="MSIP_Label_59844090-d756-4ce6-b8ef-4e0e3f430d0e_SiteId">
    <vt:lpwstr>254ba93e-1f6f-48f3-90e6-e2766664b477</vt:lpwstr>
  </property>
  <property fmtid="{D5CDD505-2E9C-101B-9397-08002B2CF9AE}" pid="17" name="MSIP_Label_59844090-d756-4ce6-b8ef-4e0e3f430d0e_ActionId">
    <vt:lpwstr>07af9d21-4d49-4a5b-8261-3116d9ada92e</vt:lpwstr>
  </property>
  <property fmtid="{D5CDD505-2E9C-101B-9397-08002B2CF9AE}" pid="18" name="MediaServiceImageTags">
    <vt:lpwstr/>
  </property>
</Properties>
</file>